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13_ncr:1_{78FE93BE-B248-4D5F-8592-2B80A64770B7}" xr6:coauthVersionLast="47" xr6:coauthVersionMax="47" xr10:uidLastSave="{00000000-0000-0000-0000-000000000000}"/>
  <bookViews>
    <workbookView xWindow="-110" yWindow="-110" windowWidth="19420" windowHeight="10300" tabRatio="500" activeTab="4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35" i="5" l="1"/>
  <c r="L35" i="5"/>
  <c r="K35" i="5"/>
  <c r="J35" i="5"/>
  <c r="I35" i="5"/>
  <c r="H35" i="5"/>
  <c r="G35" i="5"/>
  <c r="F35" i="5"/>
  <c r="E35" i="5"/>
  <c r="D35" i="5"/>
  <c r="O34" i="5"/>
  <c r="N34" i="5"/>
  <c r="O33" i="5"/>
  <c r="N33" i="5"/>
  <c r="O32" i="5"/>
  <c r="N32" i="5"/>
  <c r="O31" i="5"/>
  <c r="N31" i="5"/>
  <c r="O30" i="5"/>
  <c r="N30" i="5"/>
  <c r="O29" i="5"/>
  <c r="N29" i="5"/>
  <c r="O28" i="5"/>
  <c r="N28" i="5"/>
  <c r="O27" i="5"/>
  <c r="N27" i="5"/>
  <c r="O26" i="5"/>
  <c r="N26" i="5"/>
  <c r="O25" i="5"/>
  <c r="N25" i="5"/>
  <c r="O24" i="5"/>
  <c r="N24" i="5"/>
  <c r="O23" i="5"/>
  <c r="N23" i="5"/>
  <c r="O22" i="5"/>
  <c r="N22" i="5"/>
  <c r="O21" i="5"/>
  <c r="N21" i="5"/>
  <c r="O20" i="5"/>
  <c r="N20" i="5"/>
  <c r="O19" i="5"/>
  <c r="N19" i="5"/>
  <c r="O18" i="5"/>
  <c r="N18" i="5"/>
  <c r="O17" i="5"/>
  <c r="N17" i="5"/>
  <c r="O16" i="5"/>
  <c r="N16" i="5"/>
  <c r="O15" i="5"/>
  <c r="N15" i="5"/>
  <c r="O14" i="5"/>
  <c r="N14" i="5"/>
  <c r="O13" i="5"/>
  <c r="N13" i="5"/>
  <c r="O12" i="5"/>
  <c r="N12" i="5"/>
  <c r="O11" i="5"/>
  <c r="N11" i="5"/>
  <c r="O10" i="5"/>
  <c r="N10" i="5"/>
  <c r="O9" i="5"/>
  <c r="N9" i="5"/>
  <c r="O8" i="5"/>
  <c r="N8" i="5"/>
  <c r="O7" i="5"/>
  <c r="N7" i="5"/>
  <c r="O6" i="5"/>
  <c r="N6" i="5"/>
  <c r="O5" i="5"/>
  <c r="N5" i="5"/>
  <c r="O4" i="5"/>
  <c r="N4" i="5"/>
  <c r="M34" i="4"/>
  <c r="L34" i="4"/>
  <c r="K34" i="4"/>
  <c r="J34" i="4"/>
  <c r="I34" i="4"/>
  <c r="H34" i="4"/>
  <c r="G34" i="4"/>
  <c r="F34" i="4"/>
  <c r="E34" i="4"/>
  <c r="D34" i="4"/>
  <c r="O33" i="4"/>
  <c r="N33" i="4"/>
  <c r="O32" i="4"/>
  <c r="N32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12" i="4"/>
  <c r="N12" i="4"/>
  <c r="O11" i="4"/>
  <c r="N11" i="4"/>
  <c r="O10" i="4"/>
  <c r="N10" i="4"/>
  <c r="O9" i="4"/>
  <c r="O34" i="4" s="1"/>
  <c r="N9" i="4"/>
  <c r="O8" i="4"/>
  <c r="N8" i="4"/>
  <c r="O7" i="4"/>
  <c r="N7" i="4"/>
  <c r="O6" i="4"/>
  <c r="N6" i="4"/>
  <c r="O5" i="4"/>
  <c r="N5" i="4"/>
  <c r="O4" i="4"/>
  <c r="N4" i="4"/>
  <c r="M35" i="3"/>
  <c r="L35" i="3"/>
  <c r="K35" i="3"/>
  <c r="J35" i="3"/>
  <c r="I35" i="3"/>
  <c r="H35" i="3"/>
  <c r="G35" i="3"/>
  <c r="F35" i="3"/>
  <c r="E35" i="3"/>
  <c r="D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M32" i="2"/>
  <c r="L32" i="2"/>
  <c r="K32" i="2"/>
  <c r="J32" i="2"/>
  <c r="I32" i="2"/>
  <c r="H32" i="2"/>
  <c r="G32" i="2"/>
  <c r="F32" i="2"/>
  <c r="E32" i="2"/>
  <c r="D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M35" i="1"/>
  <c r="L35" i="1"/>
  <c r="K35" i="1"/>
  <c r="J35" i="1"/>
  <c r="I35" i="1"/>
  <c r="H35" i="1"/>
  <c r="G35" i="1"/>
  <c r="F35" i="1"/>
  <c r="E35" i="1"/>
  <c r="D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N35" i="5" l="1"/>
  <c r="O35" i="5"/>
  <c r="N34" i="4"/>
  <c r="N35" i="3"/>
  <c r="O35" i="3"/>
  <c r="O32" i="2"/>
  <c r="N32" i="2"/>
  <c r="O35" i="1"/>
  <c r="N35" i="1"/>
</calcChain>
</file>

<file path=xl/sharedStrings.xml><?xml version="1.0" encoding="utf-8"?>
<sst xmlns="http://schemas.openxmlformats.org/spreadsheetml/2006/main" count="236" uniqueCount="32">
  <si>
    <t>DELLA FROZEN MART  –  DATA PENJUALAN HARIAN  |  JANUARI 2026</t>
  </si>
  <si>
    <t>No</t>
  </si>
  <si>
    <t>Tanggal</t>
  </si>
  <si>
    <t>Hari</t>
  </si>
  <si>
    <t>Okey Sosis 500GR</t>
  </si>
  <si>
    <t>Fiesta Chicken Nugget 450GR</t>
  </si>
  <si>
    <t>Jamur Enoki</t>
  </si>
  <si>
    <t>Meru Lapis Bogor</t>
  </si>
  <si>
    <t>Okey Nugget Stik 500GR</t>
  </si>
  <si>
    <t>Cireng Rujak</t>
  </si>
  <si>
    <t>Salam Nugget 500GR</t>
  </si>
  <si>
    <t>Warisan Isi 50</t>
  </si>
  <si>
    <t>Belfood Sosis Isi 30</t>
  </si>
  <si>
    <t>Richeese Nugget</t>
  </si>
  <si>
    <t>Total Qty</t>
  </si>
  <si>
    <t>Total Penjualan (Rp)</t>
  </si>
  <si>
    <t>Kamis</t>
  </si>
  <si>
    <t>Jumat</t>
  </si>
  <si>
    <t>Sabtu</t>
  </si>
  <si>
    <t>Minggu</t>
  </si>
  <si>
    <t>Senin</t>
  </si>
  <si>
    <t>Selasa</t>
  </si>
  <si>
    <t>Rabu</t>
  </si>
  <si>
    <t>TOTAL JANUARI 2026</t>
  </si>
  <si>
    <t>DELLA FROZEN MART  –  DATA PENJUALAN HARIAN  |  FEBRUARI 2026</t>
  </si>
  <si>
    <t>TOTAL FEBRUARI 2026</t>
  </si>
  <si>
    <t>DELLA FROZEN MART  –  DATA PENJUALAN HARIAN  |  MARET 2026</t>
  </si>
  <si>
    <t>TOTAL MARET 2026</t>
  </si>
  <si>
    <t>DELLA FROZEN MART  –  DATA PENJUALAN HARIAN  |  APRIL 2026</t>
  </si>
  <si>
    <t>TOTAL APRIL 2026</t>
  </si>
  <si>
    <t>DELLA FROZEN MART  –  DATA PENJUALAN HARIAN  |  MEI 2026</t>
  </si>
  <si>
    <t>TOTAL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</si>
</sst>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1A3A5C"/>
      <name val="Arial"/>
      <charset val="1"/>
    </font>
    <font>
      <b/>
      <sz val="8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1A3A5C"/>
      <name val="Arial"/>
      <charset val="1"/>
    </font>
    <font>
      <b/>
      <sz val="8"/>
      <color rgb="FF000000"/>
      <name val="Arial"/>
      <charset val="1"/>
    </font>
    <font>
      <b/>
      <sz val="8"/>
      <color rgb="FF375623"/>
      <name val="Arial"/>
      <charset val="1"/>
    </font>
    <font>
      <sz val="8"/>
      <color rgb="FFCCCCCC"/>
      <name val="Arial"/>
      <charset val="1"/>
    </font>
    <font>
      <b/>
      <sz val="9"/>
      <color rgb="FFFFFFFF"/>
      <name val="Arial"/>
      <charset val="1"/>
    </font>
    <font>
      <i/>
      <sz val="9"/>
      <color rgb="FF7B3F00"/>
      <name val="Arial"/>
      <charset val="1"/>
    </font>
    <font>
      <b/>
      <sz val="8"/>
      <color rgb="FF7B3F00"/>
      <name val="Arial"/>
      <charset val="1"/>
    </font>
    <font>
      <b/>
      <sz val="11"/>
      <color rgb="FFFFFFFF"/>
      <name val="Cambria"/>
      <charset val="1"/>
    </font>
    <font>
      <i/>
      <sz val="9"/>
      <color rgb="FF375623"/>
      <name val="Arial"/>
      <charset val="1"/>
    </font>
    <font>
      <i/>
      <sz val="9"/>
      <color rgb="FF2E4057"/>
      <name val="Arial"/>
      <charset val="1"/>
    </font>
    <font>
      <b/>
      <sz val="8"/>
      <color rgb="FF2E4057"/>
      <name val="Arial"/>
      <charset val="1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A3A5C"/>
        <bgColor rgb="FF1F3864"/>
      </patternFill>
    </fill>
    <fill>
      <patternFill patternType="solid">
        <fgColor rgb="FFC5D9F1"/>
        <bgColor rgb="FFB8D0E8"/>
      </patternFill>
    </fill>
    <fill>
      <patternFill patternType="solid">
        <fgColor rgb="FF2E5F8A"/>
        <bgColor rgb="FF2E5395"/>
      </patternFill>
    </fill>
    <fill>
      <patternFill patternType="solid">
        <fgColor rgb="FFFCE4D6"/>
        <bgColor rgb="FFFDE9D9"/>
      </patternFill>
    </fill>
    <fill>
      <patternFill patternType="solid">
        <fgColor rgb="FFEBF3FB"/>
        <bgColor rgb="FFE8F0F8"/>
      </patternFill>
    </fill>
    <fill>
      <patternFill patternType="solid">
        <fgColor rgb="FFFFF2CC"/>
        <bgColor rgb="FFFDE9D9"/>
      </patternFill>
    </fill>
    <fill>
      <patternFill patternType="solid">
        <fgColor rgb="FFFFCC88"/>
        <bgColor rgb="FFF8CBAD"/>
      </patternFill>
    </fill>
    <fill>
      <patternFill patternType="solid">
        <fgColor rgb="FFFF8844"/>
        <bgColor rgb="FFFFAA44"/>
      </patternFill>
    </fill>
    <fill>
      <patternFill patternType="solid">
        <fgColor rgb="FF44AA44"/>
        <bgColor rgb="FF4E7B2F"/>
      </patternFill>
    </fill>
    <fill>
      <patternFill patternType="solid">
        <fgColor rgb="FFFFFFFF"/>
        <bgColor rgb="FFF2F7FB"/>
      </patternFill>
    </fill>
    <fill>
      <patternFill patternType="solid">
        <fgColor rgb="FF7B3F00"/>
        <bgColor rgb="FF444444"/>
      </patternFill>
    </fill>
    <fill>
      <patternFill patternType="solid">
        <fgColor rgb="FFFDE9D9"/>
        <bgColor rgb="FFFCE4D6"/>
      </patternFill>
    </fill>
    <fill>
      <patternFill patternType="solid">
        <fgColor rgb="FFC0632A"/>
        <bgColor rgb="FFFF8844"/>
      </patternFill>
    </fill>
    <fill>
      <patternFill patternType="solid">
        <fgColor rgb="FFF8CBAD"/>
        <bgColor rgb="FFFFCC88"/>
      </patternFill>
    </fill>
    <fill>
      <patternFill patternType="solid">
        <fgColor rgb="FFFEF4EC"/>
        <bgColor rgb="FFF2F7FB"/>
      </patternFill>
    </fill>
    <fill>
      <patternFill patternType="solid">
        <fgColor rgb="FFCC2222"/>
        <bgColor rgb="FF993366"/>
      </patternFill>
    </fill>
    <fill>
      <patternFill patternType="solid">
        <fgColor rgb="FF375623"/>
        <bgColor rgb="FF444444"/>
      </patternFill>
    </fill>
    <fill>
      <patternFill patternType="solid">
        <fgColor rgb="FFE2EFDA"/>
        <bgColor rgb="FFEBF5E5"/>
      </patternFill>
    </fill>
    <fill>
      <patternFill patternType="solid">
        <fgColor rgb="FF4E7B2F"/>
        <bgColor rgb="FF666666"/>
      </patternFill>
    </fill>
    <fill>
      <patternFill patternType="solid">
        <fgColor rgb="FFC6E0B4"/>
        <bgColor rgb="FFCCCCCC"/>
      </patternFill>
    </fill>
    <fill>
      <patternFill patternType="solid">
        <fgColor rgb="FFEBF5E5"/>
        <bgColor rgb="FFEBF3FB"/>
      </patternFill>
    </fill>
    <fill>
      <patternFill patternType="solid">
        <fgColor rgb="FF2E4057"/>
        <bgColor rgb="FF1F3864"/>
      </patternFill>
    </fill>
    <fill>
      <patternFill patternType="solid">
        <fgColor rgb="FFB8D0E8"/>
        <bgColor rgb="FFC5D9F1"/>
      </patternFill>
    </fill>
    <fill>
      <patternFill patternType="solid">
        <fgColor rgb="FF3D6B9E"/>
        <bgColor rgb="FF2E5F8A"/>
      </patternFill>
    </fill>
    <fill>
      <patternFill patternType="solid">
        <fgColor rgb="FFE8F0F8"/>
        <bgColor rgb="FFEBF3FB"/>
      </patternFill>
    </fill>
    <fill>
      <patternFill patternType="solid">
        <fgColor rgb="FFFFAA44"/>
        <bgColor rgb="FFFF8844"/>
      </patternFill>
    </fill>
  </fills>
  <borders count="6">
    <border>
      <left/>
      <right/>
      <top/>
      <bottom/>
      <diagonal/>
    </border>
    <border>
      <left style="medium">
        <color rgb="FF1A3A5C"/>
      </left>
      <right style="medium">
        <color rgb="FF1A3A5C"/>
      </right>
      <top style="medium">
        <color rgb="FF1A3A5C"/>
      </top>
      <bottom style="medium">
        <color rgb="FF1A3A5C"/>
      </bottom>
      <diagonal/>
    </border>
    <border>
      <left style="thin">
        <color rgb="FFA9C4E0"/>
      </left>
      <right style="thin">
        <color rgb="FFA9C4E0"/>
      </right>
      <top style="thin">
        <color rgb="FFA9C4E0"/>
      </top>
      <bottom style="thin">
        <color rgb="FFA9C4E0"/>
      </bottom>
      <diagonal/>
    </border>
    <border>
      <left style="medium">
        <color rgb="FF7B3F00"/>
      </left>
      <right style="medium">
        <color rgb="FF7B3F00"/>
      </right>
      <top style="medium">
        <color rgb="FF7B3F00"/>
      </top>
      <bottom style="medium">
        <color rgb="FF7B3F0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3" fontId="6" fillId="6" borderId="2" xfId="0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3" fontId="4" fillId="7" borderId="2" xfId="0" applyNumberFormat="1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center" vertical="center"/>
    </xf>
    <xf numFmtId="3" fontId="7" fillId="8" borderId="2" xfId="0" applyNumberFormat="1" applyFont="1" applyFill="1" applyBorder="1" applyAlignment="1">
      <alignment horizontal="center" vertical="center"/>
    </xf>
    <xf numFmtId="3" fontId="7" fillId="8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center" vertical="center"/>
    </xf>
    <xf numFmtId="164" fontId="3" fillId="9" borderId="2" xfId="0" applyNumberFormat="1" applyFont="1" applyFill="1" applyBorder="1" applyAlignment="1">
      <alignment horizontal="center" vertical="center"/>
    </xf>
    <xf numFmtId="3" fontId="3" fillId="9" borderId="2" xfId="0" applyNumberFormat="1" applyFont="1" applyFill="1" applyBorder="1" applyAlignment="1">
      <alignment horizontal="center" vertical="center"/>
    </xf>
    <xf numFmtId="3" fontId="3" fillId="9" borderId="2" xfId="0" applyNumberFormat="1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/>
    </xf>
    <xf numFmtId="3" fontId="3" fillId="10" borderId="2" xfId="0" applyNumberFormat="1" applyFont="1" applyFill="1" applyBorder="1" applyAlignment="1">
      <alignment horizontal="center" vertical="center"/>
    </xf>
    <xf numFmtId="3" fontId="3" fillId="10" borderId="2" xfId="0" applyNumberFormat="1" applyFont="1" applyFill="1" applyBorder="1" applyAlignment="1">
      <alignment horizontal="right" vertical="center"/>
    </xf>
    <xf numFmtId="0" fontId="4" fillId="11" borderId="2" xfId="0" applyFont="1" applyFill="1" applyBorder="1" applyAlignment="1">
      <alignment horizontal="center" vertical="center"/>
    </xf>
    <xf numFmtId="164" fontId="4" fillId="11" borderId="2" xfId="0" applyNumberFormat="1" applyFont="1" applyFill="1" applyBorder="1" applyAlignment="1">
      <alignment horizontal="center" vertical="center"/>
    </xf>
    <xf numFmtId="3" fontId="6" fillId="11" borderId="2" xfId="0" applyNumberFormat="1" applyFont="1" applyFill="1" applyBorder="1" applyAlignment="1">
      <alignment horizontal="center" vertical="center"/>
    </xf>
    <xf numFmtId="3" fontId="4" fillId="11" borderId="2" xfId="0" applyNumberFormat="1" applyFont="1" applyFill="1" applyBorder="1" applyAlignment="1">
      <alignment horizontal="center" vertical="center"/>
    </xf>
    <xf numFmtId="3" fontId="8" fillId="11" borderId="2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 vertical="center"/>
    </xf>
    <xf numFmtId="3" fontId="8" fillId="7" borderId="2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right" vertical="center"/>
    </xf>
    <xf numFmtId="0" fontId="3" fillId="14" borderId="3" xfId="0" applyFont="1" applyFill="1" applyBorder="1" applyAlignment="1">
      <alignment horizontal="center" vertical="center" wrapText="1"/>
    </xf>
    <xf numFmtId="3" fontId="11" fillId="15" borderId="2" xfId="0" applyNumberFormat="1" applyFont="1" applyFill="1" applyBorder="1" applyAlignment="1">
      <alignment horizontal="center" vertical="center"/>
    </xf>
    <xf numFmtId="3" fontId="6" fillId="15" borderId="2" xfId="0" applyNumberFormat="1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center" vertical="center"/>
    </xf>
    <xf numFmtId="164" fontId="4" fillId="13" borderId="2" xfId="0" applyNumberFormat="1" applyFont="1" applyFill="1" applyBorder="1" applyAlignment="1">
      <alignment horizontal="center" vertical="center"/>
    </xf>
    <xf numFmtId="3" fontId="4" fillId="13" borderId="2" xfId="0" applyNumberFormat="1" applyFont="1" applyFill="1" applyBorder="1" applyAlignment="1">
      <alignment horizontal="center" vertical="center"/>
    </xf>
    <xf numFmtId="3" fontId="8" fillId="13" borderId="2" xfId="0" applyNumberFormat="1" applyFont="1" applyFill="1" applyBorder="1" applyAlignment="1">
      <alignment horizontal="center" vertical="center"/>
    </xf>
    <xf numFmtId="3" fontId="6" fillId="13" borderId="2" xfId="0" applyNumberFormat="1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164" fontId="4" fillId="16" borderId="2" xfId="0" applyNumberFormat="1" applyFont="1" applyFill="1" applyBorder="1" applyAlignment="1">
      <alignment horizontal="center" vertical="center"/>
    </xf>
    <xf numFmtId="3" fontId="6" fillId="16" borderId="2" xfId="0" applyNumberFormat="1" applyFont="1" applyFill="1" applyBorder="1" applyAlignment="1">
      <alignment horizontal="center" vertical="center"/>
    </xf>
    <xf numFmtId="3" fontId="4" fillId="16" borderId="2" xfId="0" applyNumberFormat="1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3" fontId="9" fillId="12" borderId="3" xfId="0" applyNumberFormat="1" applyFont="1" applyFill="1" applyBorder="1" applyAlignment="1">
      <alignment horizontal="center" vertical="center"/>
    </xf>
    <xf numFmtId="3" fontId="9" fillId="12" borderId="3" xfId="0" applyNumberFormat="1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center" vertical="center"/>
    </xf>
    <xf numFmtId="164" fontId="4" fillId="8" borderId="2" xfId="0" applyNumberFormat="1" applyFont="1" applyFill="1" applyBorder="1" applyAlignment="1">
      <alignment horizontal="center" vertical="center"/>
    </xf>
    <xf numFmtId="3" fontId="6" fillId="8" borderId="2" xfId="0" applyNumberFormat="1" applyFont="1" applyFill="1" applyBorder="1" applyAlignment="1">
      <alignment horizontal="center" vertical="center"/>
    </xf>
    <xf numFmtId="3" fontId="4" fillId="8" borderId="2" xfId="0" applyNumberFormat="1" applyFont="1" applyFill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3" fontId="6" fillId="8" borderId="2" xfId="0" applyNumberFormat="1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center" vertical="center"/>
    </xf>
    <xf numFmtId="164" fontId="12" fillId="9" borderId="2" xfId="0" applyNumberFormat="1" applyFont="1" applyFill="1" applyBorder="1" applyAlignment="1">
      <alignment horizontal="center" vertical="center"/>
    </xf>
    <xf numFmtId="3" fontId="12" fillId="9" borderId="2" xfId="0" applyNumberFormat="1" applyFont="1" applyFill="1" applyBorder="1" applyAlignment="1">
      <alignment horizontal="center" vertical="center"/>
    </xf>
    <xf numFmtId="3" fontId="12" fillId="9" borderId="2" xfId="0" applyNumberFormat="1" applyFont="1" applyFill="1" applyBorder="1" applyAlignment="1">
      <alignment horizontal="right" vertical="center"/>
    </xf>
    <xf numFmtId="0" fontId="12" fillId="17" borderId="2" xfId="0" applyFont="1" applyFill="1" applyBorder="1" applyAlignment="1">
      <alignment horizontal="center" vertical="center"/>
    </xf>
    <xf numFmtId="164" fontId="12" fillId="17" borderId="2" xfId="0" applyNumberFormat="1" applyFont="1" applyFill="1" applyBorder="1" applyAlignment="1">
      <alignment horizontal="center" vertical="center"/>
    </xf>
    <xf numFmtId="3" fontId="12" fillId="17" borderId="2" xfId="0" applyNumberFormat="1" applyFont="1" applyFill="1" applyBorder="1" applyAlignment="1">
      <alignment horizontal="center" vertical="center"/>
    </xf>
    <xf numFmtId="3" fontId="12" fillId="17" borderId="2" xfId="0" applyNumberFormat="1" applyFont="1" applyFill="1" applyBorder="1" applyAlignment="1">
      <alignment horizontal="right" vertical="center"/>
    </xf>
    <xf numFmtId="0" fontId="12" fillId="10" borderId="2" xfId="0" applyFont="1" applyFill="1" applyBorder="1" applyAlignment="1">
      <alignment horizontal="center" vertical="center"/>
    </xf>
    <xf numFmtId="164" fontId="12" fillId="10" borderId="2" xfId="0" applyNumberFormat="1" applyFont="1" applyFill="1" applyBorder="1" applyAlignment="1">
      <alignment horizontal="center" vertical="center"/>
    </xf>
    <xf numFmtId="3" fontId="12" fillId="10" borderId="2" xfId="0" applyNumberFormat="1" applyFont="1" applyFill="1" applyBorder="1" applyAlignment="1">
      <alignment horizontal="center" vertical="center"/>
    </xf>
    <xf numFmtId="3" fontId="12" fillId="10" borderId="2" xfId="0" applyNumberFormat="1" applyFont="1" applyFill="1" applyBorder="1" applyAlignment="1">
      <alignment horizontal="right" vertical="center"/>
    </xf>
    <xf numFmtId="0" fontId="3" fillId="20" borderId="4" xfId="0" applyFont="1" applyFill="1" applyBorder="1" applyAlignment="1">
      <alignment horizontal="center" vertical="center" wrapText="1"/>
    </xf>
    <xf numFmtId="3" fontId="7" fillId="21" borderId="2" xfId="0" applyNumberFormat="1" applyFont="1" applyFill="1" applyBorder="1" applyAlignment="1">
      <alignment horizontal="center" vertical="center"/>
    </xf>
    <xf numFmtId="3" fontId="6" fillId="21" borderId="2" xfId="0" applyNumberFormat="1" applyFont="1" applyFill="1" applyBorder="1" applyAlignment="1">
      <alignment horizontal="right" vertical="center"/>
    </xf>
    <xf numFmtId="0" fontId="4" fillId="22" borderId="2" xfId="0" applyFont="1" applyFill="1" applyBorder="1" applyAlignment="1">
      <alignment horizontal="center" vertical="center"/>
    </xf>
    <xf numFmtId="164" fontId="4" fillId="22" borderId="2" xfId="0" applyNumberFormat="1" applyFont="1" applyFill="1" applyBorder="1" applyAlignment="1">
      <alignment horizontal="center" vertical="center"/>
    </xf>
    <xf numFmtId="3" fontId="4" fillId="22" borderId="2" xfId="0" applyNumberFormat="1" applyFont="1" applyFill="1" applyBorder="1" applyAlignment="1">
      <alignment horizontal="center" vertical="center"/>
    </xf>
    <xf numFmtId="3" fontId="8" fillId="22" borderId="2" xfId="0" applyNumberFormat="1" applyFont="1" applyFill="1" applyBorder="1" applyAlignment="1">
      <alignment horizontal="center" vertical="center"/>
    </xf>
    <xf numFmtId="3" fontId="6" fillId="22" borderId="2" xfId="0" applyNumberFormat="1" applyFont="1" applyFill="1" applyBorder="1" applyAlignment="1">
      <alignment horizontal="center" vertical="center"/>
    </xf>
    <xf numFmtId="3" fontId="9" fillId="18" borderId="4" xfId="0" applyNumberFormat="1" applyFont="1" applyFill="1" applyBorder="1" applyAlignment="1">
      <alignment horizontal="center" vertical="center"/>
    </xf>
    <xf numFmtId="3" fontId="9" fillId="18" borderId="4" xfId="0" applyNumberFormat="1" applyFont="1" applyFill="1" applyBorder="1" applyAlignment="1">
      <alignment horizontal="right" vertical="center"/>
    </xf>
    <xf numFmtId="0" fontId="3" fillId="25" borderId="5" xfId="0" applyFont="1" applyFill="1" applyBorder="1" applyAlignment="1">
      <alignment horizontal="center" vertical="center" wrapText="1"/>
    </xf>
    <xf numFmtId="3" fontId="15" fillId="24" borderId="2" xfId="0" applyNumberFormat="1" applyFont="1" applyFill="1" applyBorder="1" applyAlignment="1">
      <alignment horizontal="center" vertical="center"/>
    </xf>
    <xf numFmtId="3" fontId="6" fillId="24" borderId="2" xfId="0" applyNumberFormat="1" applyFont="1" applyFill="1" applyBorder="1" applyAlignment="1">
      <alignment horizontal="right" vertical="center"/>
    </xf>
    <xf numFmtId="0" fontId="4" fillId="26" borderId="2" xfId="0" applyFont="1" applyFill="1" applyBorder="1" applyAlignment="1">
      <alignment horizontal="center" vertical="center"/>
    </xf>
    <xf numFmtId="164" fontId="4" fillId="26" borderId="2" xfId="0" applyNumberFormat="1" applyFont="1" applyFill="1" applyBorder="1" applyAlignment="1">
      <alignment horizontal="center" vertical="center"/>
    </xf>
    <xf numFmtId="3" fontId="6" fillId="26" borderId="2" xfId="0" applyNumberFormat="1" applyFont="1" applyFill="1" applyBorder="1" applyAlignment="1">
      <alignment horizontal="center" vertical="center"/>
    </xf>
    <xf numFmtId="3" fontId="8" fillId="26" borderId="2" xfId="0" applyNumberFormat="1" applyFont="1" applyFill="1" applyBorder="1" applyAlignment="1">
      <alignment horizontal="center" vertical="center"/>
    </xf>
    <xf numFmtId="3" fontId="4" fillId="26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3" fontId="15" fillId="8" borderId="2" xfId="0" applyNumberFormat="1" applyFont="1" applyFill="1" applyBorder="1" applyAlignment="1">
      <alignment horizontal="center" vertical="center"/>
    </xf>
    <xf numFmtId="0" fontId="4" fillId="27" borderId="2" xfId="0" applyFont="1" applyFill="1" applyBorder="1" applyAlignment="1">
      <alignment horizontal="center" vertical="center"/>
    </xf>
    <xf numFmtId="164" fontId="4" fillId="27" borderId="2" xfId="0" applyNumberFormat="1" applyFont="1" applyFill="1" applyBorder="1" applyAlignment="1">
      <alignment horizontal="center" vertical="center"/>
    </xf>
    <xf numFmtId="0" fontId="6" fillId="27" borderId="2" xfId="0" applyFont="1" applyFill="1" applyBorder="1" applyAlignment="1">
      <alignment horizontal="center" vertical="center"/>
    </xf>
    <xf numFmtId="3" fontId="6" fillId="27" borderId="2" xfId="0" applyNumberFormat="1" applyFont="1" applyFill="1" applyBorder="1" applyAlignment="1">
      <alignment horizontal="center" vertical="center"/>
    </xf>
    <xf numFmtId="3" fontId="4" fillId="27" borderId="2" xfId="0" applyNumberFormat="1" applyFont="1" applyFill="1" applyBorder="1" applyAlignment="1">
      <alignment horizontal="center" vertical="center"/>
    </xf>
    <xf numFmtId="3" fontId="15" fillId="27" borderId="2" xfId="0" applyNumberFormat="1" applyFont="1" applyFill="1" applyBorder="1" applyAlignment="1">
      <alignment horizontal="center" vertical="center"/>
    </xf>
    <xf numFmtId="3" fontId="6" fillId="27" borderId="2" xfId="0" applyNumberFormat="1" applyFont="1" applyFill="1" applyBorder="1" applyAlignment="1">
      <alignment horizontal="right" vertical="center"/>
    </xf>
    <xf numFmtId="3" fontId="9" fillId="23" borderId="5" xfId="0" applyNumberFormat="1" applyFont="1" applyFill="1" applyBorder="1" applyAlignment="1">
      <alignment horizontal="center" vertical="center"/>
    </xf>
    <xf numFmtId="3" fontId="9" fillId="23" borderId="5" xfId="0" applyNumberFormat="1" applyFont="1" applyFill="1" applyBorder="1" applyAlignment="1">
      <alignment horizontal="right" vertical="center"/>
    </xf>
    <xf numFmtId="3" fontId="16" fillId="11" borderId="2" xfId="0" applyNumberFormat="1" applyFont="1" applyFill="1" applyBorder="1" applyAlignment="1">
      <alignment horizontal="center" vertical="center"/>
    </xf>
    <xf numFmtId="3" fontId="16" fillId="16" borderId="2" xfId="0" applyNumberFormat="1" applyFont="1" applyFill="1" applyBorder="1" applyAlignment="1">
      <alignment horizontal="center" vertical="center"/>
    </xf>
    <xf numFmtId="3" fontId="16" fillId="13" borderId="2" xfId="0" applyNumberFormat="1" applyFont="1" applyFill="1" applyBorder="1" applyAlignment="1">
      <alignment horizontal="center" vertical="center"/>
    </xf>
    <xf numFmtId="3" fontId="16" fillId="22" borderId="2" xfId="0" applyNumberFormat="1" applyFont="1" applyFill="1" applyBorder="1" applyAlignment="1">
      <alignment horizontal="center" vertical="center"/>
    </xf>
    <xf numFmtId="3" fontId="16" fillId="5" borderId="2" xfId="0" applyNumberFormat="1" applyFont="1" applyFill="1" applyBorder="1" applyAlignment="1">
      <alignment horizontal="center" vertical="center"/>
    </xf>
    <xf numFmtId="3" fontId="16" fillId="7" borderId="2" xfId="0" applyNumberFormat="1" applyFont="1" applyFill="1" applyBorder="1" applyAlignment="1">
      <alignment horizontal="center" vertical="center"/>
    </xf>
    <xf numFmtId="3" fontId="16" fillId="6" borderId="2" xfId="0" applyNumberFormat="1" applyFont="1" applyFill="1" applyBorder="1" applyAlignment="1">
      <alignment horizontal="center" vertical="center"/>
    </xf>
    <xf numFmtId="3" fontId="16" fillId="26" borderId="2" xfId="0" applyNumberFormat="1" applyFont="1" applyFill="1" applyBorder="1" applyAlignment="1">
      <alignment horizontal="center" vertical="center"/>
    </xf>
    <xf numFmtId="3" fontId="16" fillId="8" borderId="2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0" fontId="10" fillId="13" borderId="0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1" fillId="18" borderId="0" xfId="0" applyFont="1" applyFill="1" applyBorder="1" applyAlignment="1">
      <alignment horizontal="center" vertical="center"/>
    </xf>
    <xf numFmtId="0" fontId="13" fillId="19" borderId="0" xfId="0" applyFont="1" applyFill="1" applyBorder="1" applyAlignment="1">
      <alignment horizontal="center" vertical="center"/>
    </xf>
    <xf numFmtId="0" fontId="9" fillId="18" borderId="4" xfId="0" applyFont="1" applyFill="1" applyBorder="1" applyAlignment="1">
      <alignment horizontal="center" vertical="center"/>
    </xf>
    <xf numFmtId="0" fontId="1" fillId="23" borderId="0" xfId="0" applyFont="1" applyFill="1" applyBorder="1" applyAlignment="1">
      <alignment horizontal="center" vertical="center"/>
    </xf>
    <xf numFmtId="0" fontId="14" fillId="24" borderId="0" xfId="0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BF5E5"/>
      <rgbColor rgb="FFFF00FF"/>
      <rgbColor rgb="FF00FFFF"/>
      <rgbColor rgb="FF9C0006"/>
      <rgbColor rgb="FF008000"/>
      <rgbColor rgb="FF000080"/>
      <rgbColor rgb="FF4E7B2F"/>
      <rgbColor rgb="FF800080"/>
      <rgbColor rgb="FF3D6B9E"/>
      <rgbColor rgb="FFBFBFBF"/>
      <rgbColor rgb="FF808080"/>
      <rgbColor rgb="FFB8D0E8"/>
      <rgbColor rgb="FFCC2222"/>
      <rgbColor rgb="FFFFF2CC"/>
      <rgbColor rgb="FFE8F0F8"/>
      <rgbColor rgb="FF660066"/>
      <rgbColor rgb="FFFF8844"/>
      <rgbColor rgb="FF2E5F8A"/>
      <rgbColor rgb="FFC5D9F1"/>
      <rgbColor rgb="FF000080"/>
      <rgbColor rgb="FFFF00FF"/>
      <rgbColor rgb="FFFEF4EC"/>
      <rgbColor rgb="FF00FFFF"/>
      <rgbColor rgb="FF800080"/>
      <rgbColor rgb="FF800000"/>
      <rgbColor rgb="FF2E5395"/>
      <rgbColor rgb="FF0000FF"/>
      <rgbColor rgb="FF00CCFF"/>
      <rgbColor rgb="FFEBF3FB"/>
      <rgbColor rgb="FFE2EFDA"/>
      <rgbColor rgb="FFFDE9D9"/>
      <rgbColor rgb="FFA9C4E0"/>
      <rgbColor rgb="FFF8CBAD"/>
      <rgbColor rgb="FFCCCCCC"/>
      <rgbColor rgb="FFFFCC88"/>
      <rgbColor rgb="FF4472C4"/>
      <rgbColor rgb="FFF2F7FB"/>
      <rgbColor rgb="FFD6E4F0"/>
      <rgbColor rgb="FFFCE4D6"/>
      <rgbColor rgb="FFFFAA44"/>
      <rgbColor rgb="FFC0632A"/>
      <rgbColor rgb="FF666666"/>
      <rgbColor rgb="FFC6E0B4"/>
      <rgbColor rgb="FF1A3A5C"/>
      <rgbColor rgb="FF44AA44"/>
      <rgbColor rgb="FF375623"/>
      <rgbColor rgb="FF444444"/>
      <rgbColor rgb="FF7B3F00"/>
      <rgbColor rgb="FF993366"/>
      <rgbColor rgb="FF1F3864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showGridLines="0" zoomScaleNormal="100" workbookViewId="0">
      <pane ySplit="3" topLeftCell="A5" activePane="bottomLeft" state="frozen"/>
      <selection pane="bottomLeft" activeCell="A2" sqref="A2:O2"/>
    </sheetView>
  </sheetViews>
  <sheetFormatPr defaultColWidth="8.6328125" defaultRowHeight="14.5" x14ac:dyDescent="0.35"/>
  <cols>
    <col min="1" max="1" width="4" style="1" customWidth="1"/>
    <col min="2" max="2" width="12" style="1" customWidth="1"/>
    <col min="3" max="3" width="9" style="1" customWidth="1"/>
    <col min="4" max="13" width="17" style="1" customWidth="1"/>
    <col min="14" max="14" width="10" style="1" customWidth="1"/>
    <col min="15" max="15" width="22" style="1" customWidth="1"/>
  </cols>
  <sheetData>
    <row r="1" spans="1:15" ht="27.75" customHeight="1" x14ac:dyDescent="0.35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5" ht="15.75" customHeight="1" thickBot="1" x14ac:dyDescent="0.4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</row>
    <row r="3" spans="1:15" ht="37.5" customHeight="1" thickBot="1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ht="13.5" customHeight="1" x14ac:dyDescent="0.35">
      <c r="A4" s="3">
        <v>1</v>
      </c>
      <c r="B4" s="4">
        <v>46023</v>
      </c>
      <c r="C4" s="3" t="s">
        <v>16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6">
        <f t="shared" ref="N4:N34" si="0">SUM(D4:M4)</f>
        <v>0</v>
      </c>
      <c r="O4" s="7">
        <f t="shared" ref="O4:O34" si="1">D4*18000+E4*38000+F4*12000+G4*45000+H4*35000+I4*25000+J4*38000+K4*65000+L4*45000+M4*35000</f>
        <v>0</v>
      </c>
    </row>
    <row r="5" spans="1:15" ht="13.5" customHeight="1" x14ac:dyDescent="0.35">
      <c r="A5" s="8">
        <v>2</v>
      </c>
      <c r="B5" s="9">
        <v>46024</v>
      </c>
      <c r="C5" s="8" t="s">
        <v>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1">
        <v>40</v>
      </c>
      <c r="K5" s="11">
        <v>0</v>
      </c>
      <c r="L5" s="10">
        <v>0</v>
      </c>
      <c r="M5" s="10">
        <v>0</v>
      </c>
      <c r="N5" s="6">
        <f t="shared" si="0"/>
        <v>40</v>
      </c>
      <c r="O5" s="7">
        <f t="shared" si="1"/>
        <v>1520000</v>
      </c>
    </row>
    <row r="6" spans="1:15" ht="13.5" customHeight="1" x14ac:dyDescent="0.35">
      <c r="A6" s="12">
        <v>3</v>
      </c>
      <c r="B6" s="13">
        <v>46025</v>
      </c>
      <c r="C6" s="14" t="s">
        <v>18</v>
      </c>
      <c r="D6" s="15">
        <v>40</v>
      </c>
      <c r="E6" s="15">
        <v>0</v>
      </c>
      <c r="F6" s="16">
        <v>0</v>
      </c>
      <c r="G6" s="15">
        <v>0</v>
      </c>
      <c r="H6" s="15">
        <v>0</v>
      </c>
      <c r="I6" s="15">
        <v>0</v>
      </c>
      <c r="J6" s="15">
        <v>50</v>
      </c>
      <c r="K6" s="15">
        <v>0</v>
      </c>
      <c r="L6" s="16">
        <v>0</v>
      </c>
      <c r="M6" s="16">
        <v>0</v>
      </c>
      <c r="N6" s="6">
        <f t="shared" si="0"/>
        <v>90</v>
      </c>
      <c r="O6" s="7">
        <f t="shared" si="1"/>
        <v>2620000</v>
      </c>
    </row>
    <row r="7" spans="1:15" ht="13.5" customHeight="1" x14ac:dyDescent="0.35">
      <c r="A7" s="12">
        <v>4</v>
      </c>
      <c r="B7" s="13">
        <v>46026</v>
      </c>
      <c r="C7" s="14" t="s">
        <v>19</v>
      </c>
      <c r="D7" s="15">
        <v>40</v>
      </c>
      <c r="E7" s="16">
        <v>0</v>
      </c>
      <c r="F7" s="16">
        <v>0</v>
      </c>
      <c r="G7" s="16">
        <v>0</v>
      </c>
      <c r="H7" s="15">
        <v>40</v>
      </c>
      <c r="I7" s="15">
        <v>0</v>
      </c>
      <c r="J7" s="16">
        <v>50</v>
      </c>
      <c r="K7" s="15">
        <v>0</v>
      </c>
      <c r="L7" s="15">
        <v>0</v>
      </c>
      <c r="M7" s="15">
        <v>0</v>
      </c>
      <c r="N7" s="6">
        <f t="shared" si="0"/>
        <v>130</v>
      </c>
      <c r="O7" s="7">
        <f t="shared" si="1"/>
        <v>4020000</v>
      </c>
    </row>
    <row r="8" spans="1:15" ht="13.5" customHeight="1" x14ac:dyDescent="0.35">
      <c r="A8" s="17">
        <v>5</v>
      </c>
      <c r="B8" s="18">
        <v>46027</v>
      </c>
      <c r="C8" s="17" t="s">
        <v>20</v>
      </c>
      <c r="D8" s="19">
        <v>50</v>
      </c>
      <c r="E8" s="19">
        <v>0</v>
      </c>
      <c r="F8" s="19">
        <v>40</v>
      </c>
      <c r="G8" s="19">
        <v>0</v>
      </c>
      <c r="H8" s="19">
        <v>40</v>
      </c>
      <c r="I8" s="19">
        <v>0</v>
      </c>
      <c r="J8" s="19">
        <v>50</v>
      </c>
      <c r="K8" s="19">
        <v>0</v>
      </c>
      <c r="L8" s="19">
        <v>0</v>
      </c>
      <c r="M8" s="19">
        <v>40</v>
      </c>
      <c r="N8" s="19">
        <f t="shared" si="0"/>
        <v>220</v>
      </c>
      <c r="O8" s="20">
        <f t="shared" si="1"/>
        <v>6080000</v>
      </c>
    </row>
    <row r="9" spans="1:15" ht="13.5" customHeight="1" x14ac:dyDescent="0.35">
      <c r="A9" s="21">
        <v>6</v>
      </c>
      <c r="B9" s="22">
        <v>46028</v>
      </c>
      <c r="C9" s="21" t="s">
        <v>21</v>
      </c>
      <c r="D9" s="23">
        <v>50</v>
      </c>
      <c r="E9" s="23">
        <v>40</v>
      </c>
      <c r="F9" s="23">
        <v>50</v>
      </c>
      <c r="G9" s="23">
        <v>0</v>
      </c>
      <c r="H9" s="23">
        <v>40</v>
      </c>
      <c r="I9" s="23">
        <v>0</v>
      </c>
      <c r="J9" s="23">
        <v>0</v>
      </c>
      <c r="K9" s="23">
        <v>0</v>
      </c>
      <c r="L9" s="23">
        <v>0</v>
      </c>
      <c r="M9" s="23">
        <v>40</v>
      </c>
      <c r="N9" s="23">
        <f t="shared" si="0"/>
        <v>220</v>
      </c>
      <c r="O9" s="24">
        <f t="shared" si="1"/>
        <v>5820000</v>
      </c>
    </row>
    <row r="10" spans="1:15" ht="13.5" customHeight="1" x14ac:dyDescent="0.35">
      <c r="A10" s="21">
        <v>7</v>
      </c>
      <c r="B10" s="22">
        <v>46029</v>
      </c>
      <c r="C10" s="21" t="s">
        <v>22</v>
      </c>
      <c r="D10" s="23">
        <v>0</v>
      </c>
      <c r="E10" s="23">
        <v>45</v>
      </c>
      <c r="F10" s="23">
        <v>50</v>
      </c>
      <c r="G10" s="23">
        <v>0</v>
      </c>
      <c r="H10" s="23">
        <v>50</v>
      </c>
      <c r="I10" s="23">
        <v>40</v>
      </c>
      <c r="J10" s="23">
        <v>0</v>
      </c>
      <c r="K10" s="23">
        <v>0</v>
      </c>
      <c r="L10" s="23">
        <v>0</v>
      </c>
      <c r="M10" s="23">
        <v>40</v>
      </c>
      <c r="N10" s="23">
        <f t="shared" si="0"/>
        <v>225</v>
      </c>
      <c r="O10" s="24">
        <f t="shared" si="1"/>
        <v>6460000</v>
      </c>
    </row>
    <row r="11" spans="1:15" ht="13.5" customHeight="1" x14ac:dyDescent="0.35">
      <c r="A11" s="25">
        <v>8</v>
      </c>
      <c r="B11" s="26">
        <v>46030</v>
      </c>
      <c r="C11" s="25" t="s">
        <v>16</v>
      </c>
      <c r="D11" s="27">
        <v>0</v>
      </c>
      <c r="E11" s="27">
        <v>50</v>
      </c>
      <c r="F11" s="27">
        <v>0</v>
      </c>
      <c r="G11" s="27">
        <v>40</v>
      </c>
      <c r="H11" s="27">
        <v>0</v>
      </c>
      <c r="I11" s="27">
        <v>40</v>
      </c>
      <c r="J11" s="27">
        <v>0</v>
      </c>
      <c r="K11" s="27">
        <v>0</v>
      </c>
      <c r="L11" s="27">
        <v>0</v>
      </c>
      <c r="M11" s="27">
        <v>40</v>
      </c>
      <c r="N11" s="27">
        <f t="shared" si="0"/>
        <v>170</v>
      </c>
      <c r="O11" s="28">
        <f t="shared" si="1"/>
        <v>6100000</v>
      </c>
    </row>
    <row r="12" spans="1:15" ht="13.5" customHeight="1" x14ac:dyDescent="0.35">
      <c r="A12" s="29">
        <v>9</v>
      </c>
      <c r="B12" s="30">
        <v>46031</v>
      </c>
      <c r="C12" s="29" t="s">
        <v>17</v>
      </c>
      <c r="D12" s="31">
        <v>0</v>
      </c>
      <c r="E12" s="32">
        <v>50</v>
      </c>
      <c r="F12" s="31">
        <v>0</v>
      </c>
      <c r="G12" s="32">
        <v>50</v>
      </c>
      <c r="H12" s="32">
        <v>0</v>
      </c>
      <c r="I12" s="31">
        <v>45</v>
      </c>
      <c r="J12" s="31">
        <v>0</v>
      </c>
      <c r="K12" s="31">
        <v>40</v>
      </c>
      <c r="L12" s="32">
        <v>0</v>
      </c>
      <c r="M12" s="32">
        <v>50</v>
      </c>
      <c r="N12" s="6">
        <f t="shared" si="0"/>
        <v>235</v>
      </c>
      <c r="O12" s="7">
        <f t="shared" si="1"/>
        <v>9625000</v>
      </c>
    </row>
    <row r="13" spans="1:15" ht="13.5" customHeight="1" x14ac:dyDescent="0.35">
      <c r="A13" s="12">
        <v>10</v>
      </c>
      <c r="B13" s="13">
        <v>46032</v>
      </c>
      <c r="C13" s="14" t="s">
        <v>18</v>
      </c>
      <c r="D13" s="15">
        <v>0</v>
      </c>
      <c r="E13" s="15">
        <v>0</v>
      </c>
      <c r="F13" s="15">
        <v>0</v>
      </c>
      <c r="G13" s="15">
        <v>0</v>
      </c>
      <c r="H13" s="16">
        <v>0</v>
      </c>
      <c r="I13" s="15">
        <v>50</v>
      </c>
      <c r="J13" s="15">
        <v>0</v>
      </c>
      <c r="K13" s="16">
        <v>40</v>
      </c>
      <c r="L13" s="15">
        <v>40</v>
      </c>
      <c r="M13" s="15">
        <v>0</v>
      </c>
      <c r="N13" s="6">
        <f t="shared" si="0"/>
        <v>130</v>
      </c>
      <c r="O13" s="7">
        <f t="shared" si="1"/>
        <v>5650000</v>
      </c>
    </row>
    <row r="14" spans="1:15" ht="13.5" customHeight="1" x14ac:dyDescent="0.35">
      <c r="A14" s="12">
        <v>11</v>
      </c>
      <c r="B14" s="13">
        <v>46033</v>
      </c>
      <c r="C14" s="14" t="s">
        <v>19</v>
      </c>
      <c r="D14" s="15">
        <v>0</v>
      </c>
      <c r="E14" s="15">
        <v>0</v>
      </c>
      <c r="F14" s="16">
        <v>0</v>
      </c>
      <c r="G14" s="15">
        <v>0</v>
      </c>
      <c r="H14" s="16">
        <v>0</v>
      </c>
      <c r="I14" s="15">
        <v>0</v>
      </c>
      <c r="J14" s="15">
        <v>0</v>
      </c>
      <c r="K14" s="16">
        <v>40</v>
      </c>
      <c r="L14" s="15">
        <v>40</v>
      </c>
      <c r="M14" s="15">
        <v>0</v>
      </c>
      <c r="N14" s="6">
        <f t="shared" si="0"/>
        <v>80</v>
      </c>
      <c r="O14" s="7">
        <f t="shared" si="1"/>
        <v>4400000</v>
      </c>
    </row>
    <row r="15" spans="1:15" ht="13.5" customHeight="1" x14ac:dyDescent="0.35">
      <c r="A15" s="8">
        <v>12</v>
      </c>
      <c r="B15" s="9">
        <v>46034</v>
      </c>
      <c r="C15" s="8" t="s">
        <v>20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0">
        <v>40</v>
      </c>
      <c r="L15" s="11">
        <v>50</v>
      </c>
      <c r="M15" s="11">
        <v>0</v>
      </c>
      <c r="N15" s="6">
        <f t="shared" si="0"/>
        <v>90</v>
      </c>
      <c r="O15" s="7">
        <f t="shared" si="1"/>
        <v>4850000</v>
      </c>
    </row>
    <row r="16" spans="1:15" ht="13.5" customHeight="1" x14ac:dyDescent="0.35">
      <c r="A16" s="29">
        <v>13</v>
      </c>
      <c r="B16" s="30">
        <v>46035</v>
      </c>
      <c r="C16" s="29" t="s">
        <v>21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1">
        <v>0</v>
      </c>
      <c r="J16" s="31">
        <v>0</v>
      </c>
      <c r="K16" s="31">
        <v>50</v>
      </c>
      <c r="L16" s="32">
        <v>0</v>
      </c>
      <c r="M16" s="32">
        <v>0</v>
      </c>
      <c r="N16" s="6">
        <f t="shared" si="0"/>
        <v>50</v>
      </c>
      <c r="O16" s="7">
        <f t="shared" si="1"/>
        <v>3250000</v>
      </c>
    </row>
    <row r="17" spans="1:15" ht="13.5" customHeight="1" x14ac:dyDescent="0.35">
      <c r="A17" s="8">
        <v>14</v>
      </c>
      <c r="B17" s="9">
        <v>46036</v>
      </c>
      <c r="C17" s="8" t="s">
        <v>22</v>
      </c>
      <c r="D17" s="11">
        <v>45</v>
      </c>
      <c r="E17" s="10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50</v>
      </c>
      <c r="L17" s="10">
        <v>0</v>
      </c>
      <c r="M17" s="11">
        <v>0</v>
      </c>
      <c r="N17" s="6">
        <f t="shared" si="0"/>
        <v>95</v>
      </c>
      <c r="O17" s="7">
        <f t="shared" si="1"/>
        <v>4060000</v>
      </c>
    </row>
    <row r="18" spans="1:15" ht="13.5" customHeight="1" x14ac:dyDescent="0.35">
      <c r="A18" s="29">
        <v>15</v>
      </c>
      <c r="B18" s="30">
        <v>46037</v>
      </c>
      <c r="C18" s="29" t="s">
        <v>16</v>
      </c>
      <c r="D18" s="31">
        <v>50</v>
      </c>
      <c r="E18" s="31">
        <v>0</v>
      </c>
      <c r="F18" s="33">
        <v>0</v>
      </c>
      <c r="G18" s="32">
        <v>0</v>
      </c>
      <c r="H18" s="32">
        <v>0</v>
      </c>
      <c r="I18" s="32">
        <v>0</v>
      </c>
      <c r="J18" s="31">
        <v>40</v>
      </c>
      <c r="K18" s="31">
        <v>0</v>
      </c>
      <c r="L18" s="31">
        <v>0</v>
      </c>
      <c r="M18" s="31">
        <v>0</v>
      </c>
      <c r="N18" s="6">
        <f t="shared" si="0"/>
        <v>90</v>
      </c>
      <c r="O18" s="7">
        <f t="shared" si="1"/>
        <v>2420000</v>
      </c>
    </row>
    <row r="19" spans="1:15" ht="13.5" customHeight="1" x14ac:dyDescent="0.35">
      <c r="A19" s="8">
        <v>16</v>
      </c>
      <c r="B19" s="9">
        <v>46038</v>
      </c>
      <c r="C19" s="8" t="s">
        <v>17</v>
      </c>
      <c r="D19" s="10">
        <v>50</v>
      </c>
      <c r="E19" s="10">
        <v>0</v>
      </c>
      <c r="F19" s="109">
        <v>50</v>
      </c>
      <c r="G19" s="10">
        <v>0</v>
      </c>
      <c r="H19" s="10">
        <v>0</v>
      </c>
      <c r="I19" s="10">
        <v>0</v>
      </c>
      <c r="J19" s="10">
        <v>50</v>
      </c>
      <c r="K19" s="11">
        <v>0</v>
      </c>
      <c r="L19" s="10">
        <v>0</v>
      </c>
      <c r="M19" s="10">
        <v>0</v>
      </c>
      <c r="N19" s="6">
        <f t="shared" si="0"/>
        <v>150</v>
      </c>
      <c r="O19" s="7">
        <f t="shared" si="1"/>
        <v>3400000</v>
      </c>
    </row>
    <row r="20" spans="1:15" ht="13.5" customHeight="1" x14ac:dyDescent="0.35">
      <c r="A20" s="12">
        <v>17</v>
      </c>
      <c r="B20" s="13">
        <v>46039</v>
      </c>
      <c r="C20" s="14" t="s">
        <v>18</v>
      </c>
      <c r="D20" s="15">
        <v>0</v>
      </c>
      <c r="E20" s="16">
        <v>0</v>
      </c>
      <c r="F20" s="16">
        <v>60</v>
      </c>
      <c r="G20" s="16">
        <v>0</v>
      </c>
      <c r="H20" s="16">
        <v>0</v>
      </c>
      <c r="I20" s="15">
        <v>0</v>
      </c>
      <c r="J20" s="16">
        <v>50</v>
      </c>
      <c r="K20" s="15">
        <v>0</v>
      </c>
      <c r="L20" s="15">
        <v>0</v>
      </c>
      <c r="M20" s="15">
        <v>40</v>
      </c>
      <c r="N20" s="6">
        <f t="shared" si="0"/>
        <v>150</v>
      </c>
      <c r="O20" s="7">
        <f t="shared" si="1"/>
        <v>4020000</v>
      </c>
    </row>
    <row r="21" spans="1:15" ht="13.5" customHeight="1" x14ac:dyDescent="0.35">
      <c r="A21" s="12">
        <v>18</v>
      </c>
      <c r="B21" s="13">
        <v>46040</v>
      </c>
      <c r="C21" s="14" t="s">
        <v>19</v>
      </c>
      <c r="D21" s="15">
        <v>0</v>
      </c>
      <c r="E21" s="15">
        <v>0</v>
      </c>
      <c r="F21" s="15">
        <v>0</v>
      </c>
      <c r="G21" s="15">
        <v>0</v>
      </c>
      <c r="H21" s="15">
        <v>40</v>
      </c>
      <c r="I21" s="15">
        <v>0</v>
      </c>
      <c r="J21" s="35">
        <v>0</v>
      </c>
      <c r="K21" s="15">
        <v>0</v>
      </c>
      <c r="L21" s="16">
        <v>0</v>
      </c>
      <c r="M21" s="15">
        <v>40</v>
      </c>
      <c r="N21" s="6">
        <f t="shared" si="0"/>
        <v>80</v>
      </c>
      <c r="O21" s="7">
        <f t="shared" si="1"/>
        <v>2800000</v>
      </c>
    </row>
    <row r="22" spans="1:15" ht="13.5" customHeight="1" x14ac:dyDescent="0.35">
      <c r="A22" s="29">
        <v>19</v>
      </c>
      <c r="B22" s="30">
        <v>46041</v>
      </c>
      <c r="C22" s="29" t="s">
        <v>20</v>
      </c>
      <c r="D22" s="32">
        <v>0</v>
      </c>
      <c r="E22" s="32">
        <v>0</v>
      </c>
      <c r="F22" s="32">
        <v>0</v>
      </c>
      <c r="G22" s="31">
        <v>0</v>
      </c>
      <c r="H22" s="32">
        <v>40</v>
      </c>
      <c r="I22" s="32">
        <v>0</v>
      </c>
      <c r="J22" s="32">
        <v>0</v>
      </c>
      <c r="K22" s="31">
        <v>0</v>
      </c>
      <c r="L22" s="32">
        <v>0</v>
      </c>
      <c r="M22" s="103">
        <v>40</v>
      </c>
      <c r="N22" s="6">
        <f t="shared" si="0"/>
        <v>80</v>
      </c>
      <c r="O22" s="7">
        <f t="shared" si="1"/>
        <v>2800000</v>
      </c>
    </row>
    <row r="23" spans="1:15" ht="13.5" customHeight="1" x14ac:dyDescent="0.35">
      <c r="A23" s="8">
        <v>20</v>
      </c>
      <c r="B23" s="9">
        <v>46042</v>
      </c>
      <c r="C23" s="8" t="s">
        <v>21</v>
      </c>
      <c r="D23" s="11">
        <v>0</v>
      </c>
      <c r="E23" s="11">
        <v>0</v>
      </c>
      <c r="F23" s="11">
        <v>0</v>
      </c>
      <c r="G23" s="11">
        <v>0</v>
      </c>
      <c r="H23" s="11">
        <v>40</v>
      </c>
      <c r="I23" s="11">
        <v>0</v>
      </c>
      <c r="J23" s="11">
        <v>0</v>
      </c>
      <c r="K23" s="10">
        <v>0</v>
      </c>
      <c r="L23" s="11">
        <v>40</v>
      </c>
      <c r="M23" s="11">
        <v>40</v>
      </c>
      <c r="N23" s="6">
        <f t="shared" si="0"/>
        <v>120</v>
      </c>
      <c r="O23" s="7">
        <f t="shared" si="1"/>
        <v>4600000</v>
      </c>
    </row>
    <row r="24" spans="1:15" ht="13.5" customHeight="1" x14ac:dyDescent="0.35">
      <c r="A24" s="29">
        <v>21</v>
      </c>
      <c r="B24" s="30">
        <v>46043</v>
      </c>
      <c r="C24" s="29" t="s">
        <v>22</v>
      </c>
      <c r="D24" s="31">
        <v>0</v>
      </c>
      <c r="E24" s="32">
        <v>40</v>
      </c>
      <c r="F24" s="31">
        <v>0</v>
      </c>
      <c r="G24" s="32">
        <v>0</v>
      </c>
      <c r="H24" s="32">
        <v>40</v>
      </c>
      <c r="I24" s="32">
        <v>0</v>
      </c>
      <c r="J24" s="32">
        <v>0</v>
      </c>
      <c r="K24" s="31">
        <v>0</v>
      </c>
      <c r="L24" s="32">
        <v>40</v>
      </c>
      <c r="M24" s="32">
        <v>40</v>
      </c>
      <c r="N24" s="6">
        <f t="shared" si="0"/>
        <v>160</v>
      </c>
      <c r="O24" s="7">
        <f t="shared" si="1"/>
        <v>6120000</v>
      </c>
    </row>
    <row r="25" spans="1:15" ht="13.5" customHeight="1" x14ac:dyDescent="0.35">
      <c r="A25" s="8">
        <v>22</v>
      </c>
      <c r="B25" s="9">
        <v>46044</v>
      </c>
      <c r="C25" s="8" t="s">
        <v>16</v>
      </c>
      <c r="D25" s="11">
        <v>0</v>
      </c>
      <c r="E25" s="11">
        <v>40</v>
      </c>
      <c r="F25" s="10">
        <v>0</v>
      </c>
      <c r="G25" s="11">
        <v>0</v>
      </c>
      <c r="H25" s="11">
        <v>0</v>
      </c>
      <c r="I25" s="11">
        <v>0</v>
      </c>
      <c r="J25" s="11">
        <v>0</v>
      </c>
      <c r="K25" s="10">
        <v>0</v>
      </c>
      <c r="L25" s="11">
        <v>40</v>
      </c>
      <c r="M25" s="11">
        <v>50</v>
      </c>
      <c r="N25" s="6">
        <f t="shared" si="0"/>
        <v>130</v>
      </c>
      <c r="O25" s="7">
        <f t="shared" si="1"/>
        <v>5070000</v>
      </c>
    </row>
    <row r="26" spans="1:15" ht="13.5" customHeight="1" x14ac:dyDescent="0.35">
      <c r="A26" s="29">
        <v>23</v>
      </c>
      <c r="B26" s="30">
        <v>46045</v>
      </c>
      <c r="C26" s="29" t="s">
        <v>17</v>
      </c>
      <c r="D26" s="31">
        <v>0</v>
      </c>
      <c r="E26" s="32">
        <v>40</v>
      </c>
      <c r="F26" s="31">
        <v>0</v>
      </c>
      <c r="G26" s="31">
        <v>0</v>
      </c>
      <c r="H26" s="33">
        <v>0</v>
      </c>
      <c r="I26" s="32">
        <v>0</v>
      </c>
      <c r="J26" s="31">
        <v>0</v>
      </c>
      <c r="K26" s="32">
        <v>0</v>
      </c>
      <c r="L26" s="31">
        <v>0</v>
      </c>
      <c r="M26" s="32">
        <v>0</v>
      </c>
      <c r="N26" s="6">
        <f t="shared" si="0"/>
        <v>40</v>
      </c>
      <c r="O26" s="7">
        <f t="shared" si="1"/>
        <v>1520000</v>
      </c>
    </row>
    <row r="27" spans="1:15" ht="13.5" customHeight="1" x14ac:dyDescent="0.35">
      <c r="A27" s="12">
        <v>24</v>
      </c>
      <c r="B27" s="13">
        <v>46046</v>
      </c>
      <c r="C27" s="14" t="s">
        <v>18</v>
      </c>
      <c r="D27" s="15">
        <v>0</v>
      </c>
      <c r="E27" s="16">
        <v>45</v>
      </c>
      <c r="F27" s="15">
        <v>0</v>
      </c>
      <c r="G27" s="15">
        <v>0</v>
      </c>
      <c r="H27" s="15">
        <v>0</v>
      </c>
      <c r="I27" s="15">
        <v>40</v>
      </c>
      <c r="J27" s="15">
        <v>0</v>
      </c>
      <c r="K27" s="15">
        <v>0</v>
      </c>
      <c r="L27" s="16">
        <v>0</v>
      </c>
      <c r="M27" s="15">
        <v>0</v>
      </c>
      <c r="N27" s="6">
        <f t="shared" si="0"/>
        <v>85</v>
      </c>
      <c r="O27" s="7">
        <f t="shared" si="1"/>
        <v>2710000</v>
      </c>
    </row>
    <row r="28" spans="1:15" ht="13.5" customHeight="1" x14ac:dyDescent="0.35">
      <c r="A28" s="12">
        <v>25</v>
      </c>
      <c r="B28" s="13">
        <v>46047</v>
      </c>
      <c r="C28" s="14" t="s">
        <v>19</v>
      </c>
      <c r="D28" s="15">
        <v>0</v>
      </c>
      <c r="E28" s="15">
        <v>50</v>
      </c>
      <c r="F28" s="15">
        <v>0</v>
      </c>
      <c r="G28" s="15">
        <v>50</v>
      </c>
      <c r="H28" s="15">
        <v>0</v>
      </c>
      <c r="I28" s="16">
        <v>40</v>
      </c>
      <c r="J28" s="16">
        <v>0</v>
      </c>
      <c r="K28" s="15">
        <v>0</v>
      </c>
      <c r="L28" s="15">
        <v>0</v>
      </c>
      <c r="M28" s="15">
        <v>0</v>
      </c>
      <c r="N28" s="6">
        <f t="shared" si="0"/>
        <v>140</v>
      </c>
      <c r="O28" s="7">
        <f t="shared" si="1"/>
        <v>5150000</v>
      </c>
    </row>
    <row r="29" spans="1:15" ht="13.5" customHeight="1" x14ac:dyDescent="0.35">
      <c r="A29" s="8">
        <v>26</v>
      </c>
      <c r="B29" s="9">
        <v>46048</v>
      </c>
      <c r="C29" s="8" t="s">
        <v>20</v>
      </c>
      <c r="D29" s="11">
        <v>0</v>
      </c>
      <c r="E29" s="10">
        <v>0</v>
      </c>
      <c r="F29" s="11">
        <v>0</v>
      </c>
      <c r="G29" s="11">
        <v>60</v>
      </c>
      <c r="H29" s="11">
        <v>0</v>
      </c>
      <c r="I29" s="11">
        <v>45</v>
      </c>
      <c r="J29" s="11">
        <v>0</v>
      </c>
      <c r="K29" s="11">
        <v>40</v>
      </c>
      <c r="L29" s="10">
        <v>0</v>
      </c>
      <c r="M29" s="11">
        <v>0</v>
      </c>
      <c r="N29" s="6">
        <f t="shared" si="0"/>
        <v>145</v>
      </c>
      <c r="O29" s="7">
        <f t="shared" si="1"/>
        <v>6425000</v>
      </c>
    </row>
    <row r="30" spans="1:15" ht="13.5" customHeight="1" x14ac:dyDescent="0.35">
      <c r="A30" s="29">
        <v>27</v>
      </c>
      <c r="B30" s="30">
        <v>46049</v>
      </c>
      <c r="C30" s="29" t="s">
        <v>21</v>
      </c>
      <c r="D30" s="32">
        <v>40</v>
      </c>
      <c r="E30" s="32">
        <v>0</v>
      </c>
      <c r="F30" s="31">
        <v>0</v>
      </c>
      <c r="G30" s="32">
        <v>0</v>
      </c>
      <c r="H30" s="32">
        <v>0</v>
      </c>
      <c r="I30" s="32">
        <v>50</v>
      </c>
      <c r="J30" s="32">
        <v>0</v>
      </c>
      <c r="K30" s="32">
        <v>50</v>
      </c>
      <c r="L30" s="32">
        <v>0</v>
      </c>
      <c r="M30" s="32">
        <v>0</v>
      </c>
      <c r="N30" s="6">
        <f t="shared" si="0"/>
        <v>140</v>
      </c>
      <c r="O30" s="7">
        <f t="shared" si="1"/>
        <v>5220000</v>
      </c>
    </row>
    <row r="31" spans="1:15" ht="13.5" customHeight="1" x14ac:dyDescent="0.35">
      <c r="A31" s="8">
        <v>28</v>
      </c>
      <c r="B31" s="9">
        <v>46050</v>
      </c>
      <c r="C31" s="8" t="s">
        <v>22</v>
      </c>
      <c r="D31" s="10">
        <v>40</v>
      </c>
      <c r="E31" s="10">
        <v>0</v>
      </c>
      <c r="F31" s="10">
        <v>0</v>
      </c>
      <c r="G31" s="10">
        <v>0</v>
      </c>
      <c r="H31" s="10">
        <v>0</v>
      </c>
      <c r="I31" s="11">
        <v>50</v>
      </c>
      <c r="J31" s="11">
        <v>40</v>
      </c>
      <c r="K31" s="10">
        <v>50</v>
      </c>
      <c r="L31" s="11">
        <v>0</v>
      </c>
      <c r="M31" s="11">
        <v>0</v>
      </c>
      <c r="N31" s="6">
        <f t="shared" si="0"/>
        <v>180</v>
      </c>
      <c r="O31" s="7">
        <f t="shared" si="1"/>
        <v>6740000</v>
      </c>
    </row>
    <row r="32" spans="1:15" ht="13.5" customHeight="1" x14ac:dyDescent="0.35">
      <c r="A32" s="29">
        <v>29</v>
      </c>
      <c r="B32" s="30">
        <v>46051</v>
      </c>
      <c r="C32" s="29" t="s">
        <v>16</v>
      </c>
      <c r="D32" s="31">
        <v>45</v>
      </c>
      <c r="E32" s="31">
        <v>0</v>
      </c>
      <c r="F32" s="32">
        <v>50</v>
      </c>
      <c r="G32" s="31">
        <v>0</v>
      </c>
      <c r="H32" s="32">
        <v>0</v>
      </c>
      <c r="I32" s="33">
        <v>0</v>
      </c>
      <c r="J32" s="32">
        <v>40</v>
      </c>
      <c r="K32" s="32">
        <v>50</v>
      </c>
      <c r="L32" s="32">
        <v>0</v>
      </c>
      <c r="M32" s="32">
        <v>80</v>
      </c>
      <c r="N32" s="6">
        <f t="shared" si="0"/>
        <v>265</v>
      </c>
      <c r="O32" s="7">
        <f t="shared" si="1"/>
        <v>8980000</v>
      </c>
    </row>
    <row r="33" spans="1:15" ht="13.5" customHeight="1" x14ac:dyDescent="0.35">
      <c r="A33" s="8">
        <v>30</v>
      </c>
      <c r="B33" s="9">
        <v>46052</v>
      </c>
      <c r="C33" s="8" t="s">
        <v>17</v>
      </c>
      <c r="D33" s="10">
        <v>50</v>
      </c>
      <c r="E33" s="10">
        <v>0</v>
      </c>
      <c r="F33" s="11">
        <v>50</v>
      </c>
      <c r="G33" s="11">
        <v>0</v>
      </c>
      <c r="H33" s="10">
        <v>80</v>
      </c>
      <c r="I33" s="34">
        <v>0</v>
      </c>
      <c r="J33" s="11">
        <v>40</v>
      </c>
      <c r="K33" s="10">
        <v>50</v>
      </c>
      <c r="L33" s="11">
        <v>0</v>
      </c>
      <c r="M33" s="10">
        <v>80</v>
      </c>
      <c r="N33" s="6">
        <f t="shared" si="0"/>
        <v>350</v>
      </c>
      <c r="O33" s="7">
        <f t="shared" si="1"/>
        <v>11870000</v>
      </c>
    </row>
    <row r="34" spans="1:15" ht="13.5" customHeight="1" thickBot="1" x14ac:dyDescent="0.4">
      <c r="A34" s="12">
        <v>31</v>
      </c>
      <c r="B34" s="13">
        <v>46053</v>
      </c>
      <c r="C34" s="14" t="s">
        <v>18</v>
      </c>
      <c r="D34" s="15">
        <v>0</v>
      </c>
      <c r="E34" s="15">
        <v>0</v>
      </c>
      <c r="F34" s="16">
        <v>50</v>
      </c>
      <c r="G34" s="15">
        <v>0</v>
      </c>
      <c r="H34" s="15">
        <v>90</v>
      </c>
      <c r="I34" s="15">
        <v>0</v>
      </c>
      <c r="J34" s="16">
        <v>50</v>
      </c>
      <c r="K34" s="15">
        <v>0</v>
      </c>
      <c r="L34" s="15">
        <v>150</v>
      </c>
      <c r="M34" s="15">
        <v>80</v>
      </c>
      <c r="N34" s="6">
        <f t="shared" si="0"/>
        <v>420</v>
      </c>
      <c r="O34" s="7">
        <f t="shared" si="1"/>
        <v>15200000</v>
      </c>
    </row>
    <row r="35" spans="1:15" ht="18" customHeight="1" thickBot="1" x14ac:dyDescent="0.4">
      <c r="A35" s="114" t="s">
        <v>23</v>
      </c>
      <c r="B35" s="114"/>
      <c r="C35" s="114"/>
      <c r="D35" s="36">
        <f t="shared" ref="D35:O35" si="2">SUM(D4:D34)</f>
        <v>500</v>
      </c>
      <c r="E35" s="36">
        <f t="shared" si="2"/>
        <v>400</v>
      </c>
      <c r="F35" s="36">
        <f t="shared" si="2"/>
        <v>400</v>
      </c>
      <c r="G35" s="36">
        <f t="shared" si="2"/>
        <v>200</v>
      </c>
      <c r="H35" s="36">
        <f t="shared" si="2"/>
        <v>500</v>
      </c>
      <c r="I35" s="36">
        <f t="shared" si="2"/>
        <v>400</v>
      </c>
      <c r="J35" s="36">
        <f t="shared" si="2"/>
        <v>500</v>
      </c>
      <c r="K35" s="36">
        <f t="shared" si="2"/>
        <v>500</v>
      </c>
      <c r="L35" s="36">
        <f t="shared" si="2"/>
        <v>400</v>
      </c>
      <c r="M35" s="36">
        <f t="shared" si="2"/>
        <v>700</v>
      </c>
      <c r="N35" s="36">
        <f t="shared" si="2"/>
        <v>4500</v>
      </c>
      <c r="O35" s="37">
        <f t="shared" si="2"/>
        <v>159500000</v>
      </c>
    </row>
  </sheetData>
  <mergeCells count="3">
    <mergeCell ref="A1:O1"/>
    <mergeCell ref="A2:O2"/>
    <mergeCell ref="A35:C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showGridLines="0" zoomScaleNormal="100" workbookViewId="0">
      <pane ySplit="3" topLeftCell="A15" activePane="bottomLeft" state="frozen"/>
      <selection pane="bottomLeft" activeCell="A2" sqref="A2:O2"/>
    </sheetView>
  </sheetViews>
  <sheetFormatPr defaultColWidth="8.6328125" defaultRowHeight="14.5" x14ac:dyDescent="0.35"/>
  <cols>
    <col min="1" max="1" width="4" style="1" customWidth="1"/>
    <col min="2" max="2" width="12" style="1" customWidth="1"/>
    <col min="3" max="3" width="9" style="1" customWidth="1"/>
    <col min="4" max="13" width="17" style="1" customWidth="1"/>
    <col min="14" max="14" width="10" style="1" customWidth="1"/>
    <col min="15" max="15" width="22" style="1" customWidth="1"/>
  </cols>
  <sheetData>
    <row r="1" spans="1:15" ht="27.75" customHeight="1" x14ac:dyDescent="0.35">
      <c r="A1" s="115" t="s">
        <v>24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5" ht="15.75" customHeight="1" thickBot="1" x14ac:dyDescent="0.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5" ht="37.5" customHeight="1" thickBot="1" x14ac:dyDescent="0.4">
      <c r="A3" s="38" t="s">
        <v>1</v>
      </c>
      <c r="B3" s="38" t="s">
        <v>2</v>
      </c>
      <c r="C3" s="38" t="s">
        <v>3</v>
      </c>
      <c r="D3" s="38" t="s">
        <v>4</v>
      </c>
      <c r="E3" s="38" t="s">
        <v>5</v>
      </c>
      <c r="F3" s="38" t="s">
        <v>6</v>
      </c>
      <c r="G3" s="38" t="s">
        <v>7</v>
      </c>
      <c r="H3" s="38" t="s">
        <v>8</v>
      </c>
      <c r="I3" s="38" t="s">
        <v>9</v>
      </c>
      <c r="J3" s="38" t="s">
        <v>10</v>
      </c>
      <c r="K3" s="38" t="s">
        <v>11</v>
      </c>
      <c r="L3" s="38" t="s">
        <v>12</v>
      </c>
      <c r="M3" s="38" t="s">
        <v>13</v>
      </c>
      <c r="N3" s="38" t="s">
        <v>14</v>
      </c>
      <c r="O3" s="38" t="s">
        <v>15</v>
      </c>
    </row>
    <row r="4" spans="1:15" ht="13.5" customHeight="1" x14ac:dyDescent="0.35">
      <c r="A4" s="12">
        <v>1</v>
      </c>
      <c r="B4" s="13">
        <v>46054</v>
      </c>
      <c r="C4" s="14" t="s">
        <v>19</v>
      </c>
      <c r="D4" s="15">
        <v>40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40</v>
      </c>
      <c r="K4" s="15">
        <v>0</v>
      </c>
      <c r="L4" s="15">
        <v>0</v>
      </c>
      <c r="M4" s="15">
        <v>0</v>
      </c>
      <c r="N4" s="39">
        <f t="shared" ref="N4:N31" si="0">SUM(D4:M4)</f>
        <v>80</v>
      </c>
      <c r="O4" s="40">
        <f t="shared" ref="O4:O31" si="1">D4*18000+E4*38000+F4*12000+G4*45000+H4*35000+I4*25000+J4*38000+K4*65000+L4*45000+M4*35000</f>
        <v>2240000</v>
      </c>
    </row>
    <row r="5" spans="1:15" ht="13.5" customHeight="1" x14ac:dyDescent="0.35">
      <c r="A5" s="41">
        <v>2</v>
      </c>
      <c r="B5" s="42">
        <v>46055</v>
      </c>
      <c r="C5" s="41" t="s">
        <v>20</v>
      </c>
      <c r="D5" s="43">
        <v>40</v>
      </c>
      <c r="E5" s="44">
        <v>0</v>
      </c>
      <c r="F5" s="45">
        <v>40</v>
      </c>
      <c r="G5" s="45">
        <v>0</v>
      </c>
      <c r="H5" s="45">
        <v>0</v>
      </c>
      <c r="I5" s="45">
        <v>0</v>
      </c>
      <c r="J5" s="45">
        <v>40</v>
      </c>
      <c r="K5" s="45">
        <v>0</v>
      </c>
      <c r="L5" s="45">
        <v>0</v>
      </c>
      <c r="M5" s="43">
        <v>0</v>
      </c>
      <c r="N5" s="39">
        <f t="shared" si="0"/>
        <v>120</v>
      </c>
      <c r="O5" s="40">
        <f t="shared" si="1"/>
        <v>2720000</v>
      </c>
    </row>
    <row r="6" spans="1:15" ht="13.5" customHeight="1" x14ac:dyDescent="0.35">
      <c r="A6" s="29">
        <v>3</v>
      </c>
      <c r="B6" s="30">
        <v>46056</v>
      </c>
      <c r="C6" s="29" t="s">
        <v>21</v>
      </c>
      <c r="D6" s="103">
        <v>40</v>
      </c>
      <c r="E6" s="32">
        <v>0</v>
      </c>
      <c r="F6" s="32">
        <v>50</v>
      </c>
      <c r="G6" s="32">
        <v>0</v>
      </c>
      <c r="H6" s="32">
        <v>50</v>
      </c>
      <c r="I6" s="32">
        <v>0</v>
      </c>
      <c r="J6" s="32">
        <v>50</v>
      </c>
      <c r="K6" s="31">
        <v>0</v>
      </c>
      <c r="L6" s="31">
        <v>0</v>
      </c>
      <c r="M6" s="31">
        <v>0</v>
      </c>
      <c r="N6" s="39">
        <f t="shared" si="0"/>
        <v>190</v>
      </c>
      <c r="O6" s="40">
        <f t="shared" si="1"/>
        <v>4970000</v>
      </c>
    </row>
    <row r="7" spans="1:15" ht="13.5" customHeight="1" x14ac:dyDescent="0.35">
      <c r="A7" s="41">
        <v>4</v>
      </c>
      <c r="B7" s="42">
        <v>46057</v>
      </c>
      <c r="C7" s="41" t="s">
        <v>22</v>
      </c>
      <c r="D7" s="45">
        <v>0</v>
      </c>
      <c r="E7" s="45">
        <v>50</v>
      </c>
      <c r="F7" s="45">
        <v>0</v>
      </c>
      <c r="G7" s="43">
        <v>0</v>
      </c>
      <c r="H7" s="45">
        <v>60</v>
      </c>
      <c r="I7" s="43">
        <v>0</v>
      </c>
      <c r="J7" s="45">
        <v>0</v>
      </c>
      <c r="K7" s="45">
        <v>0</v>
      </c>
      <c r="L7" s="45">
        <v>0</v>
      </c>
      <c r="M7" s="43">
        <v>0</v>
      </c>
      <c r="N7" s="39">
        <f t="shared" si="0"/>
        <v>110</v>
      </c>
      <c r="O7" s="40">
        <f t="shared" si="1"/>
        <v>4000000</v>
      </c>
    </row>
    <row r="8" spans="1:15" ht="13.5" customHeight="1" x14ac:dyDescent="0.35">
      <c r="A8" s="29">
        <v>5</v>
      </c>
      <c r="B8" s="30">
        <v>46058</v>
      </c>
      <c r="C8" s="29" t="s">
        <v>16</v>
      </c>
      <c r="D8" s="31">
        <v>0</v>
      </c>
      <c r="E8" s="31">
        <v>50</v>
      </c>
      <c r="F8" s="33">
        <v>0</v>
      </c>
      <c r="G8" s="32">
        <v>30</v>
      </c>
      <c r="H8" s="32">
        <v>0</v>
      </c>
      <c r="I8" s="33">
        <v>0</v>
      </c>
      <c r="J8" s="32">
        <v>0</v>
      </c>
      <c r="K8" s="33">
        <v>0</v>
      </c>
      <c r="L8" s="32">
        <v>0</v>
      </c>
      <c r="M8" s="32">
        <v>0</v>
      </c>
      <c r="N8" s="39">
        <f t="shared" si="0"/>
        <v>80</v>
      </c>
      <c r="O8" s="40">
        <f t="shared" si="1"/>
        <v>3250000</v>
      </c>
    </row>
    <row r="9" spans="1:15" ht="13.5" customHeight="1" x14ac:dyDescent="0.35">
      <c r="A9" s="41">
        <v>6</v>
      </c>
      <c r="B9" s="42">
        <v>46059</v>
      </c>
      <c r="C9" s="41" t="s">
        <v>17</v>
      </c>
      <c r="D9" s="45">
        <v>0</v>
      </c>
      <c r="E9" s="43">
        <v>50</v>
      </c>
      <c r="F9" s="44">
        <v>0</v>
      </c>
      <c r="G9" s="45">
        <v>40</v>
      </c>
      <c r="H9" s="43">
        <v>0</v>
      </c>
      <c r="I9" s="43">
        <v>40</v>
      </c>
      <c r="J9" s="43">
        <v>0</v>
      </c>
      <c r="K9" s="43">
        <v>0</v>
      </c>
      <c r="L9" s="45">
        <v>0</v>
      </c>
      <c r="M9" s="45">
        <v>0</v>
      </c>
      <c r="N9" s="39">
        <f t="shared" si="0"/>
        <v>130</v>
      </c>
      <c r="O9" s="40">
        <f t="shared" si="1"/>
        <v>4700000</v>
      </c>
    </row>
    <row r="10" spans="1:15" ht="13.5" customHeight="1" x14ac:dyDescent="0.35">
      <c r="A10" s="12">
        <v>7</v>
      </c>
      <c r="B10" s="13">
        <v>46060</v>
      </c>
      <c r="C10" s="14" t="s">
        <v>18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50</v>
      </c>
      <c r="J10" s="15">
        <v>0</v>
      </c>
      <c r="K10" s="16">
        <v>0</v>
      </c>
      <c r="L10" s="15">
        <v>0</v>
      </c>
      <c r="M10" s="16">
        <v>40</v>
      </c>
      <c r="N10" s="39">
        <f t="shared" si="0"/>
        <v>90</v>
      </c>
      <c r="O10" s="40">
        <f t="shared" si="1"/>
        <v>2650000</v>
      </c>
    </row>
    <row r="11" spans="1:15" ht="13.5" customHeight="1" x14ac:dyDescent="0.35">
      <c r="A11" s="12">
        <v>8</v>
      </c>
      <c r="B11" s="13">
        <v>46061</v>
      </c>
      <c r="C11" s="14" t="s">
        <v>19</v>
      </c>
      <c r="D11" s="15">
        <v>0</v>
      </c>
      <c r="E11" s="16">
        <v>0</v>
      </c>
      <c r="F11" s="15">
        <v>0</v>
      </c>
      <c r="G11" s="15">
        <v>0</v>
      </c>
      <c r="H11" s="15">
        <v>0</v>
      </c>
      <c r="I11" s="15">
        <v>50</v>
      </c>
      <c r="J11" s="15">
        <v>0</v>
      </c>
      <c r="K11" s="15">
        <v>40</v>
      </c>
      <c r="L11" s="15">
        <v>0</v>
      </c>
      <c r="M11" s="35">
        <v>40</v>
      </c>
      <c r="N11" s="39">
        <f t="shared" si="0"/>
        <v>130</v>
      </c>
      <c r="O11" s="40">
        <f t="shared" si="1"/>
        <v>5250000</v>
      </c>
    </row>
    <row r="12" spans="1:15" ht="13.5" customHeight="1" x14ac:dyDescent="0.35">
      <c r="A12" s="29">
        <v>9</v>
      </c>
      <c r="B12" s="30">
        <v>46062</v>
      </c>
      <c r="C12" s="29" t="s">
        <v>20</v>
      </c>
      <c r="D12" s="33">
        <v>0</v>
      </c>
      <c r="E12" s="32">
        <v>0</v>
      </c>
      <c r="F12" s="32">
        <v>0</v>
      </c>
      <c r="G12" s="32">
        <v>0</v>
      </c>
      <c r="H12" s="33">
        <v>0</v>
      </c>
      <c r="I12" s="32">
        <v>0</v>
      </c>
      <c r="J12" s="33">
        <v>0</v>
      </c>
      <c r="K12" s="31">
        <v>40</v>
      </c>
      <c r="L12" s="32">
        <v>50</v>
      </c>
      <c r="M12" s="31">
        <v>50</v>
      </c>
      <c r="N12" s="39">
        <f t="shared" si="0"/>
        <v>140</v>
      </c>
      <c r="O12" s="40">
        <f t="shared" si="1"/>
        <v>6600000</v>
      </c>
    </row>
    <row r="13" spans="1:15" ht="13.5" customHeight="1" x14ac:dyDescent="0.35">
      <c r="A13" s="41">
        <v>10</v>
      </c>
      <c r="B13" s="42">
        <v>46063</v>
      </c>
      <c r="C13" s="41" t="s">
        <v>21</v>
      </c>
      <c r="D13" s="43">
        <v>0</v>
      </c>
      <c r="E13" s="45">
        <v>0</v>
      </c>
      <c r="F13" s="43">
        <v>0</v>
      </c>
      <c r="G13" s="45">
        <v>0</v>
      </c>
      <c r="H13" s="43">
        <v>0</v>
      </c>
      <c r="I13" s="45">
        <v>0</v>
      </c>
      <c r="J13" s="43">
        <v>0</v>
      </c>
      <c r="K13" s="44">
        <v>50</v>
      </c>
      <c r="L13" s="43">
        <v>50</v>
      </c>
      <c r="M13" s="43">
        <v>50</v>
      </c>
      <c r="N13" s="39">
        <f t="shared" si="0"/>
        <v>150</v>
      </c>
      <c r="O13" s="40">
        <f t="shared" si="1"/>
        <v>7250000</v>
      </c>
    </row>
    <row r="14" spans="1:15" ht="13.5" customHeight="1" x14ac:dyDescent="0.35">
      <c r="A14" s="29">
        <v>11</v>
      </c>
      <c r="B14" s="30">
        <v>46064</v>
      </c>
      <c r="C14" s="29" t="s">
        <v>22</v>
      </c>
      <c r="D14" s="32">
        <v>0</v>
      </c>
      <c r="E14" s="32">
        <v>0</v>
      </c>
      <c r="F14" s="31">
        <v>0</v>
      </c>
      <c r="G14" s="32">
        <v>0</v>
      </c>
      <c r="H14" s="31">
        <v>0</v>
      </c>
      <c r="I14" s="32">
        <v>0</v>
      </c>
      <c r="J14" s="32">
        <v>0</v>
      </c>
      <c r="K14" s="31">
        <v>50</v>
      </c>
      <c r="L14" s="32">
        <v>0</v>
      </c>
      <c r="M14" s="31">
        <v>0</v>
      </c>
      <c r="N14" s="39">
        <f t="shared" si="0"/>
        <v>50</v>
      </c>
      <c r="O14" s="40">
        <f t="shared" si="1"/>
        <v>3250000</v>
      </c>
    </row>
    <row r="15" spans="1:15" ht="13.5" customHeight="1" x14ac:dyDescent="0.35">
      <c r="A15" s="41">
        <v>12</v>
      </c>
      <c r="B15" s="42">
        <v>46065</v>
      </c>
      <c r="C15" s="41" t="s">
        <v>16</v>
      </c>
      <c r="D15" s="43">
        <v>0</v>
      </c>
      <c r="E15" s="43">
        <v>0</v>
      </c>
      <c r="F15" s="43">
        <v>0</v>
      </c>
      <c r="G15" s="43">
        <v>0</v>
      </c>
      <c r="H15" s="43">
        <v>0</v>
      </c>
      <c r="I15" s="45">
        <v>0</v>
      </c>
      <c r="J15" s="45">
        <v>0</v>
      </c>
      <c r="K15" s="43">
        <v>0</v>
      </c>
      <c r="L15" s="45">
        <v>0</v>
      </c>
      <c r="M15" s="43">
        <v>0</v>
      </c>
      <c r="N15" s="39">
        <f t="shared" si="0"/>
        <v>0</v>
      </c>
      <c r="O15" s="40">
        <f t="shared" si="1"/>
        <v>0</v>
      </c>
    </row>
    <row r="16" spans="1:15" ht="13.5" customHeight="1" x14ac:dyDescent="0.35">
      <c r="A16" s="29">
        <v>13</v>
      </c>
      <c r="B16" s="30">
        <v>46066</v>
      </c>
      <c r="C16" s="29" t="s">
        <v>17</v>
      </c>
      <c r="D16" s="32">
        <v>0</v>
      </c>
      <c r="E16" s="31">
        <v>0</v>
      </c>
      <c r="F16" s="31">
        <v>0</v>
      </c>
      <c r="G16" s="31">
        <v>0</v>
      </c>
      <c r="H16" s="32">
        <v>0</v>
      </c>
      <c r="I16" s="31">
        <v>0</v>
      </c>
      <c r="J16" s="32">
        <v>0</v>
      </c>
      <c r="K16" s="32">
        <v>0</v>
      </c>
      <c r="L16" s="31">
        <v>0</v>
      </c>
      <c r="M16" s="33">
        <v>0</v>
      </c>
      <c r="N16" s="39">
        <f t="shared" si="0"/>
        <v>0</v>
      </c>
      <c r="O16" s="40">
        <f t="shared" si="1"/>
        <v>0</v>
      </c>
    </row>
    <row r="17" spans="1:15" ht="13.5" customHeight="1" x14ac:dyDescent="0.35">
      <c r="A17" s="12">
        <v>14</v>
      </c>
      <c r="B17" s="13">
        <v>46067</v>
      </c>
      <c r="C17" s="14" t="s">
        <v>18</v>
      </c>
      <c r="D17" s="15">
        <v>0</v>
      </c>
      <c r="E17" s="16">
        <v>0</v>
      </c>
      <c r="F17" s="15">
        <v>40</v>
      </c>
      <c r="G17" s="15">
        <v>0</v>
      </c>
      <c r="H17" s="15">
        <v>0</v>
      </c>
      <c r="I17" s="16">
        <v>0</v>
      </c>
      <c r="J17" s="15">
        <v>0</v>
      </c>
      <c r="K17" s="15">
        <v>0</v>
      </c>
      <c r="L17" s="15">
        <v>0</v>
      </c>
      <c r="M17" s="15">
        <v>0</v>
      </c>
      <c r="N17" s="39">
        <f t="shared" si="0"/>
        <v>40</v>
      </c>
      <c r="O17" s="40">
        <f t="shared" si="1"/>
        <v>480000</v>
      </c>
    </row>
    <row r="18" spans="1:15" ht="13.5" customHeight="1" x14ac:dyDescent="0.35">
      <c r="A18" s="12">
        <v>15</v>
      </c>
      <c r="B18" s="13">
        <v>46068</v>
      </c>
      <c r="C18" s="14" t="s">
        <v>19</v>
      </c>
      <c r="D18" s="35">
        <v>0</v>
      </c>
      <c r="E18" s="15">
        <v>0</v>
      </c>
      <c r="F18" s="15">
        <v>40</v>
      </c>
      <c r="G18" s="3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39">
        <f t="shared" si="0"/>
        <v>40</v>
      </c>
      <c r="O18" s="40">
        <f t="shared" si="1"/>
        <v>480000</v>
      </c>
    </row>
    <row r="19" spans="1:15" ht="13.5" customHeight="1" x14ac:dyDescent="0.35">
      <c r="A19" s="41">
        <v>16</v>
      </c>
      <c r="B19" s="42">
        <v>46069</v>
      </c>
      <c r="C19" s="41" t="s">
        <v>20</v>
      </c>
      <c r="D19" s="43">
        <v>50</v>
      </c>
      <c r="E19" s="43">
        <v>0</v>
      </c>
      <c r="F19" s="43">
        <v>0</v>
      </c>
      <c r="G19" s="45">
        <v>0</v>
      </c>
      <c r="H19" s="43">
        <v>0</v>
      </c>
      <c r="I19" s="43">
        <v>0</v>
      </c>
      <c r="J19" s="45">
        <v>0</v>
      </c>
      <c r="K19" s="43">
        <v>0</v>
      </c>
      <c r="L19" s="43">
        <v>0</v>
      </c>
      <c r="M19" s="45">
        <v>0</v>
      </c>
      <c r="N19" s="39">
        <f t="shared" si="0"/>
        <v>50</v>
      </c>
      <c r="O19" s="40">
        <f t="shared" si="1"/>
        <v>900000</v>
      </c>
    </row>
    <row r="20" spans="1:15" ht="13.5" customHeight="1" x14ac:dyDescent="0.35">
      <c r="A20" s="3">
        <v>17</v>
      </c>
      <c r="B20" s="4">
        <v>46070</v>
      </c>
      <c r="C20" s="3" t="s">
        <v>21</v>
      </c>
      <c r="D20" s="5">
        <v>50</v>
      </c>
      <c r="E20" s="46">
        <v>0</v>
      </c>
      <c r="F20" s="5">
        <v>0</v>
      </c>
      <c r="G20" s="5">
        <v>0</v>
      </c>
      <c r="H20" s="5">
        <v>0</v>
      </c>
      <c r="I20" s="5">
        <v>0</v>
      </c>
      <c r="J20" s="5">
        <v>50</v>
      </c>
      <c r="K20" s="5">
        <v>0</v>
      </c>
      <c r="L20" s="47">
        <v>0</v>
      </c>
      <c r="M20" s="5">
        <v>0</v>
      </c>
      <c r="N20" s="39">
        <f t="shared" si="0"/>
        <v>100</v>
      </c>
      <c r="O20" s="40">
        <f t="shared" si="1"/>
        <v>2800000</v>
      </c>
    </row>
    <row r="21" spans="1:15" ht="13.5" customHeight="1" x14ac:dyDescent="0.35">
      <c r="A21" s="41">
        <v>18</v>
      </c>
      <c r="B21" s="42">
        <v>46071</v>
      </c>
      <c r="C21" s="41" t="s">
        <v>22</v>
      </c>
      <c r="D21" s="43">
        <v>0</v>
      </c>
      <c r="E21" s="45">
        <v>0</v>
      </c>
      <c r="F21" s="45">
        <v>0</v>
      </c>
      <c r="G21" s="45">
        <v>0</v>
      </c>
      <c r="H21" s="43">
        <v>40</v>
      </c>
      <c r="I21" s="45">
        <v>0</v>
      </c>
      <c r="J21" s="43">
        <v>60</v>
      </c>
      <c r="K21" s="45">
        <v>0</v>
      </c>
      <c r="L21" s="45">
        <v>0</v>
      </c>
      <c r="M21" s="45">
        <v>0</v>
      </c>
      <c r="N21" s="39">
        <f t="shared" si="0"/>
        <v>100</v>
      </c>
      <c r="O21" s="40">
        <f t="shared" si="1"/>
        <v>3680000</v>
      </c>
    </row>
    <row r="22" spans="1:15" ht="13.5" customHeight="1" x14ac:dyDescent="0.35">
      <c r="A22" s="48">
        <v>19</v>
      </c>
      <c r="B22" s="49">
        <v>46072</v>
      </c>
      <c r="C22" s="48" t="s">
        <v>16</v>
      </c>
      <c r="D22" s="50">
        <v>0</v>
      </c>
      <c r="E22" s="50">
        <v>0</v>
      </c>
      <c r="F22" s="50">
        <v>0</v>
      </c>
      <c r="G22" s="51">
        <v>0</v>
      </c>
      <c r="H22" s="51">
        <v>40</v>
      </c>
      <c r="I22" s="51">
        <v>0</v>
      </c>
      <c r="J22" s="50">
        <v>0</v>
      </c>
      <c r="K22" s="50">
        <v>0</v>
      </c>
      <c r="L22" s="50">
        <v>40</v>
      </c>
      <c r="M22" s="50">
        <v>50</v>
      </c>
      <c r="N22" s="39">
        <f t="shared" si="0"/>
        <v>130</v>
      </c>
      <c r="O22" s="40">
        <f t="shared" si="1"/>
        <v>4950000</v>
      </c>
    </row>
    <row r="23" spans="1:15" ht="13.5" customHeight="1" x14ac:dyDescent="0.35">
      <c r="A23" s="41">
        <v>20</v>
      </c>
      <c r="B23" s="42">
        <v>46073</v>
      </c>
      <c r="C23" s="41" t="s">
        <v>17</v>
      </c>
      <c r="D23" s="45">
        <v>0</v>
      </c>
      <c r="E23" s="45">
        <v>40</v>
      </c>
      <c r="F23" s="45">
        <v>0</v>
      </c>
      <c r="G23" s="45">
        <v>0</v>
      </c>
      <c r="H23" s="45">
        <v>40</v>
      </c>
      <c r="I23" s="45">
        <v>0</v>
      </c>
      <c r="J23" s="45">
        <v>0</v>
      </c>
      <c r="K23" s="45">
        <v>0</v>
      </c>
      <c r="L23" s="45">
        <v>50</v>
      </c>
      <c r="M23" s="45">
        <v>50</v>
      </c>
      <c r="N23" s="39">
        <f t="shared" si="0"/>
        <v>180</v>
      </c>
      <c r="O23" s="40">
        <f t="shared" si="1"/>
        <v>6920000</v>
      </c>
    </row>
    <row r="24" spans="1:15" ht="13.5" customHeight="1" x14ac:dyDescent="0.35">
      <c r="A24" s="48">
        <v>21</v>
      </c>
      <c r="B24" s="49">
        <v>46074</v>
      </c>
      <c r="C24" s="52" t="s">
        <v>18</v>
      </c>
      <c r="D24" s="50">
        <v>0</v>
      </c>
      <c r="E24" s="50">
        <v>40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50</v>
      </c>
      <c r="N24" s="39">
        <f t="shared" si="0"/>
        <v>90</v>
      </c>
      <c r="O24" s="40">
        <f t="shared" si="1"/>
        <v>3270000</v>
      </c>
    </row>
    <row r="25" spans="1:15" ht="13.5" customHeight="1" x14ac:dyDescent="0.35">
      <c r="A25" s="41">
        <v>22</v>
      </c>
      <c r="B25" s="42">
        <v>46075</v>
      </c>
      <c r="C25" s="53" t="s">
        <v>19</v>
      </c>
      <c r="D25" s="45">
        <v>0</v>
      </c>
      <c r="E25" s="45">
        <v>40</v>
      </c>
      <c r="F25" s="45">
        <v>0</v>
      </c>
      <c r="G25" s="43">
        <v>40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50</v>
      </c>
      <c r="N25" s="39">
        <f t="shared" si="0"/>
        <v>130</v>
      </c>
      <c r="O25" s="40">
        <f t="shared" si="1"/>
        <v>5070000</v>
      </c>
    </row>
    <row r="26" spans="1:15" ht="13.5" customHeight="1" x14ac:dyDescent="0.35">
      <c r="A26" s="48">
        <v>23</v>
      </c>
      <c r="B26" s="49">
        <v>46076</v>
      </c>
      <c r="C26" s="48" t="s">
        <v>20</v>
      </c>
      <c r="D26" s="50">
        <v>0</v>
      </c>
      <c r="E26" s="50">
        <v>0</v>
      </c>
      <c r="F26" s="50">
        <v>0</v>
      </c>
      <c r="G26" s="50">
        <v>40</v>
      </c>
      <c r="H26" s="50">
        <v>0</v>
      </c>
      <c r="I26" s="51">
        <v>0</v>
      </c>
      <c r="J26" s="50">
        <v>0</v>
      </c>
      <c r="K26" s="50">
        <v>0</v>
      </c>
      <c r="L26" s="51">
        <v>0</v>
      </c>
      <c r="M26" s="51">
        <v>50</v>
      </c>
      <c r="N26" s="39">
        <f t="shared" si="0"/>
        <v>90</v>
      </c>
      <c r="O26" s="40">
        <f t="shared" si="1"/>
        <v>3550000</v>
      </c>
    </row>
    <row r="27" spans="1:15" ht="13.5" customHeight="1" x14ac:dyDescent="0.35">
      <c r="A27" s="41">
        <v>24</v>
      </c>
      <c r="B27" s="42">
        <v>46077</v>
      </c>
      <c r="C27" s="41" t="s">
        <v>21</v>
      </c>
      <c r="D27" s="44">
        <v>0</v>
      </c>
      <c r="E27" s="45">
        <v>0</v>
      </c>
      <c r="F27" s="45">
        <v>0</v>
      </c>
      <c r="G27" s="45">
        <v>0</v>
      </c>
      <c r="H27" s="45">
        <v>0</v>
      </c>
      <c r="I27" s="43">
        <v>40</v>
      </c>
      <c r="J27" s="45">
        <v>0</v>
      </c>
      <c r="K27" s="43">
        <v>0</v>
      </c>
      <c r="L27" s="43">
        <v>0</v>
      </c>
      <c r="M27" s="45">
        <v>50</v>
      </c>
      <c r="N27" s="39">
        <f t="shared" si="0"/>
        <v>90</v>
      </c>
      <c r="O27" s="40">
        <f t="shared" si="1"/>
        <v>2750000</v>
      </c>
    </row>
    <row r="28" spans="1:15" ht="13.5" customHeight="1" x14ac:dyDescent="0.35">
      <c r="A28" s="48">
        <v>25</v>
      </c>
      <c r="B28" s="49">
        <v>46078</v>
      </c>
      <c r="C28" s="48" t="s">
        <v>22</v>
      </c>
      <c r="D28" s="50">
        <v>0</v>
      </c>
      <c r="E28" s="50">
        <v>0</v>
      </c>
      <c r="F28" s="50">
        <v>0</v>
      </c>
      <c r="G28" s="50">
        <v>0</v>
      </c>
      <c r="H28" s="51">
        <v>0</v>
      </c>
      <c r="I28" s="51">
        <v>40</v>
      </c>
      <c r="J28" s="50">
        <v>0</v>
      </c>
      <c r="K28" s="50">
        <v>50</v>
      </c>
      <c r="L28" s="50">
        <v>0</v>
      </c>
      <c r="M28" s="50">
        <v>0</v>
      </c>
      <c r="N28" s="39">
        <f t="shared" si="0"/>
        <v>90</v>
      </c>
      <c r="O28" s="40">
        <f t="shared" si="1"/>
        <v>4250000</v>
      </c>
    </row>
    <row r="29" spans="1:15" ht="13.5" customHeight="1" x14ac:dyDescent="0.35">
      <c r="A29" s="17">
        <v>26</v>
      </c>
      <c r="B29" s="18">
        <v>46079</v>
      </c>
      <c r="C29" s="17" t="s">
        <v>16</v>
      </c>
      <c r="D29" s="19">
        <v>0</v>
      </c>
      <c r="E29" s="19">
        <v>0</v>
      </c>
      <c r="F29" s="19">
        <v>50</v>
      </c>
      <c r="G29" s="19">
        <v>0</v>
      </c>
      <c r="H29" s="19">
        <v>0</v>
      </c>
      <c r="I29" s="19">
        <v>40</v>
      </c>
      <c r="J29" s="19">
        <v>0</v>
      </c>
      <c r="K29" s="19">
        <v>50</v>
      </c>
      <c r="L29" s="19">
        <v>0</v>
      </c>
      <c r="M29" s="19">
        <v>0</v>
      </c>
      <c r="N29" s="19">
        <f t="shared" si="0"/>
        <v>140</v>
      </c>
      <c r="O29" s="20">
        <f t="shared" si="1"/>
        <v>4850000</v>
      </c>
    </row>
    <row r="30" spans="1:15" ht="13.5" customHeight="1" x14ac:dyDescent="0.35">
      <c r="A30" s="21">
        <v>27</v>
      </c>
      <c r="B30" s="22">
        <v>46080</v>
      </c>
      <c r="C30" s="21" t="s">
        <v>17</v>
      </c>
      <c r="D30" s="23">
        <v>0</v>
      </c>
      <c r="E30" s="23">
        <v>0</v>
      </c>
      <c r="F30" s="23">
        <v>50</v>
      </c>
      <c r="G30" s="23">
        <v>0</v>
      </c>
      <c r="H30" s="23">
        <v>0</v>
      </c>
      <c r="I30" s="23">
        <v>0</v>
      </c>
      <c r="J30" s="23">
        <v>0</v>
      </c>
      <c r="K30" s="23">
        <v>50</v>
      </c>
      <c r="L30" s="23">
        <v>40</v>
      </c>
      <c r="M30" s="23">
        <v>0</v>
      </c>
      <c r="N30" s="23">
        <f t="shared" si="0"/>
        <v>140</v>
      </c>
      <c r="O30" s="24">
        <f t="shared" si="1"/>
        <v>5650000</v>
      </c>
    </row>
    <row r="31" spans="1:15" ht="13.5" customHeight="1" thickBot="1" x14ac:dyDescent="0.4">
      <c r="A31" s="25">
        <v>28</v>
      </c>
      <c r="B31" s="26">
        <v>46081</v>
      </c>
      <c r="C31" s="25" t="s">
        <v>18</v>
      </c>
      <c r="D31" s="27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40</v>
      </c>
      <c r="M31" s="27">
        <v>0</v>
      </c>
      <c r="N31" s="27">
        <f t="shared" si="0"/>
        <v>40</v>
      </c>
      <c r="O31" s="28">
        <f t="shared" si="1"/>
        <v>1800000</v>
      </c>
    </row>
    <row r="32" spans="1:15" ht="18" customHeight="1" thickBot="1" x14ac:dyDescent="0.4">
      <c r="A32" s="117" t="s">
        <v>25</v>
      </c>
      <c r="B32" s="117"/>
      <c r="C32" s="117"/>
      <c r="D32" s="54">
        <f t="shared" ref="D32:O32" si="2">SUM(D4:D31)</f>
        <v>220</v>
      </c>
      <c r="E32" s="54">
        <f t="shared" si="2"/>
        <v>270</v>
      </c>
      <c r="F32" s="54">
        <f t="shared" si="2"/>
        <v>270</v>
      </c>
      <c r="G32" s="54">
        <f t="shared" si="2"/>
        <v>150</v>
      </c>
      <c r="H32" s="54">
        <f t="shared" si="2"/>
        <v>230</v>
      </c>
      <c r="I32" s="54">
        <f t="shared" si="2"/>
        <v>260</v>
      </c>
      <c r="J32" s="54">
        <f t="shared" si="2"/>
        <v>240</v>
      </c>
      <c r="K32" s="54">
        <f t="shared" si="2"/>
        <v>330</v>
      </c>
      <c r="L32" s="54">
        <f t="shared" si="2"/>
        <v>270</v>
      </c>
      <c r="M32" s="54">
        <f t="shared" si="2"/>
        <v>480</v>
      </c>
      <c r="N32" s="54">
        <f t="shared" si="2"/>
        <v>2720</v>
      </c>
      <c r="O32" s="55">
        <f t="shared" si="2"/>
        <v>98280000</v>
      </c>
    </row>
  </sheetData>
  <mergeCells count="3">
    <mergeCell ref="A1:O1"/>
    <mergeCell ref="A2:O2"/>
    <mergeCell ref="A32:C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5"/>
  <sheetViews>
    <sheetView showGridLines="0" zoomScaleNormal="100" workbookViewId="0">
      <pane ySplit="3" topLeftCell="A4" activePane="bottomLeft" state="frozen"/>
      <selection pane="bottomLeft" activeCell="A2" sqref="A2:O2"/>
    </sheetView>
  </sheetViews>
  <sheetFormatPr defaultColWidth="8.6328125" defaultRowHeight="14.5" x14ac:dyDescent="0.35"/>
  <cols>
    <col min="1" max="1" width="4" style="1" customWidth="1"/>
    <col min="2" max="2" width="12" style="1" customWidth="1"/>
    <col min="3" max="3" width="9" style="1" customWidth="1"/>
    <col min="4" max="13" width="17" style="1" customWidth="1"/>
    <col min="14" max="14" width="10" style="1" customWidth="1"/>
    <col min="15" max="15" width="22" style="1" customWidth="1"/>
  </cols>
  <sheetData>
    <row r="1" spans="1:15" ht="27.75" customHeight="1" x14ac:dyDescent="0.35">
      <c r="A1" s="115" t="s">
        <v>26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5" ht="15.75" customHeight="1" thickBot="1" x14ac:dyDescent="0.4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5" ht="37.5" customHeight="1" thickBot="1" x14ac:dyDescent="0.4">
      <c r="A3" s="38" t="s">
        <v>1</v>
      </c>
      <c r="B3" s="38" t="s">
        <v>2</v>
      </c>
      <c r="C3" s="38" t="s">
        <v>3</v>
      </c>
      <c r="D3" s="38" t="s">
        <v>4</v>
      </c>
      <c r="E3" s="38" t="s">
        <v>5</v>
      </c>
      <c r="F3" s="38" t="s">
        <v>6</v>
      </c>
      <c r="G3" s="38" t="s">
        <v>7</v>
      </c>
      <c r="H3" s="38" t="s">
        <v>8</v>
      </c>
      <c r="I3" s="38" t="s">
        <v>9</v>
      </c>
      <c r="J3" s="38" t="s">
        <v>10</v>
      </c>
      <c r="K3" s="38" t="s">
        <v>11</v>
      </c>
      <c r="L3" s="38" t="s">
        <v>12</v>
      </c>
      <c r="M3" s="38" t="s">
        <v>13</v>
      </c>
      <c r="N3" s="38" t="s">
        <v>14</v>
      </c>
      <c r="O3" s="38" t="s">
        <v>15</v>
      </c>
    </row>
    <row r="4" spans="1:15" ht="13.5" customHeight="1" x14ac:dyDescent="0.35">
      <c r="A4" s="48">
        <v>1</v>
      </c>
      <c r="B4" s="49">
        <v>46082</v>
      </c>
      <c r="C4" s="52" t="s">
        <v>19</v>
      </c>
      <c r="D4" s="50">
        <v>30</v>
      </c>
      <c r="E4" s="50">
        <v>0</v>
      </c>
      <c r="F4" s="50">
        <v>0</v>
      </c>
      <c r="G4" s="50">
        <v>0</v>
      </c>
      <c r="H4" s="50">
        <v>40</v>
      </c>
      <c r="I4" s="50">
        <v>0</v>
      </c>
      <c r="J4" s="50">
        <v>0</v>
      </c>
      <c r="K4" s="50">
        <v>50</v>
      </c>
      <c r="L4" s="50">
        <v>0</v>
      </c>
      <c r="M4" s="50">
        <v>0</v>
      </c>
      <c r="N4" s="39">
        <f t="shared" ref="N4:N34" si="0">SUM(D4:M4)</f>
        <v>120</v>
      </c>
      <c r="O4" s="40">
        <f t="shared" ref="O4:O34" si="1">D4*18000+E4*38000+F4*12000+G4*45000+H4*35000+I4*25000+J4*38000+K4*65000+L4*45000+M4*35000</f>
        <v>5190000</v>
      </c>
    </row>
    <row r="5" spans="1:15" ht="13.5" customHeight="1" x14ac:dyDescent="0.35">
      <c r="A5" s="41">
        <v>2</v>
      </c>
      <c r="B5" s="42">
        <v>46083</v>
      </c>
      <c r="C5" s="41" t="s">
        <v>20</v>
      </c>
      <c r="D5" s="43">
        <v>20</v>
      </c>
      <c r="E5" s="45">
        <v>50</v>
      </c>
      <c r="F5" s="45">
        <v>40</v>
      </c>
      <c r="G5" s="45">
        <v>0</v>
      </c>
      <c r="H5" s="43">
        <v>40</v>
      </c>
      <c r="I5" s="45">
        <v>0</v>
      </c>
      <c r="J5" s="45">
        <v>40</v>
      </c>
      <c r="K5" s="43">
        <v>50</v>
      </c>
      <c r="L5" s="45">
        <v>40</v>
      </c>
      <c r="M5" s="43">
        <v>40</v>
      </c>
      <c r="N5" s="39">
        <f t="shared" si="0"/>
        <v>320</v>
      </c>
      <c r="O5" s="40">
        <f t="shared" si="1"/>
        <v>12110000</v>
      </c>
    </row>
    <row r="6" spans="1:15" ht="13.5" customHeight="1" x14ac:dyDescent="0.35">
      <c r="A6" s="48">
        <v>3</v>
      </c>
      <c r="B6" s="49">
        <v>46084</v>
      </c>
      <c r="C6" s="48" t="s">
        <v>21</v>
      </c>
      <c r="D6" s="50">
        <v>30</v>
      </c>
      <c r="E6" s="50">
        <v>50</v>
      </c>
      <c r="F6" s="50">
        <v>40</v>
      </c>
      <c r="G6" s="50">
        <v>40</v>
      </c>
      <c r="H6" s="50">
        <v>50</v>
      </c>
      <c r="I6" s="50">
        <v>0</v>
      </c>
      <c r="J6" s="50">
        <v>50</v>
      </c>
      <c r="K6" s="50">
        <v>50</v>
      </c>
      <c r="L6" s="50">
        <v>50</v>
      </c>
      <c r="M6" s="51">
        <v>40</v>
      </c>
      <c r="N6" s="39">
        <f t="shared" si="0"/>
        <v>400</v>
      </c>
      <c r="O6" s="40">
        <f t="shared" si="1"/>
        <v>15270000</v>
      </c>
    </row>
    <row r="7" spans="1:15" ht="13.5" customHeight="1" x14ac:dyDescent="0.35">
      <c r="A7" s="41">
        <v>4</v>
      </c>
      <c r="B7" s="42">
        <v>46085</v>
      </c>
      <c r="C7" s="41" t="s">
        <v>22</v>
      </c>
      <c r="D7" s="45">
        <v>20</v>
      </c>
      <c r="E7" s="45">
        <v>50</v>
      </c>
      <c r="F7" s="105">
        <v>40</v>
      </c>
      <c r="G7" s="45">
        <v>50</v>
      </c>
      <c r="H7" s="45">
        <v>50</v>
      </c>
      <c r="I7" s="45">
        <v>0</v>
      </c>
      <c r="J7" s="45">
        <v>50</v>
      </c>
      <c r="K7" s="45">
        <v>0</v>
      </c>
      <c r="L7" s="45">
        <v>50</v>
      </c>
      <c r="M7" s="45">
        <v>40</v>
      </c>
      <c r="N7" s="39">
        <f t="shared" si="0"/>
        <v>350</v>
      </c>
      <c r="O7" s="40">
        <f t="shared" si="1"/>
        <v>12290000</v>
      </c>
    </row>
    <row r="8" spans="1:15" ht="13.5" customHeight="1" x14ac:dyDescent="0.35">
      <c r="A8" s="48">
        <v>5</v>
      </c>
      <c r="B8" s="49">
        <v>46086</v>
      </c>
      <c r="C8" s="48" t="s">
        <v>16</v>
      </c>
      <c r="D8" s="50">
        <v>30</v>
      </c>
      <c r="E8" s="50">
        <v>50</v>
      </c>
      <c r="F8" s="50">
        <v>50</v>
      </c>
      <c r="G8" s="50">
        <v>50</v>
      </c>
      <c r="H8" s="51">
        <v>0</v>
      </c>
      <c r="I8" s="50">
        <v>40</v>
      </c>
      <c r="J8" s="50">
        <v>50</v>
      </c>
      <c r="K8" s="50">
        <v>0</v>
      </c>
      <c r="L8" s="50">
        <v>0</v>
      </c>
      <c r="M8" s="51">
        <v>50</v>
      </c>
      <c r="N8" s="39">
        <f t="shared" si="0"/>
        <v>320</v>
      </c>
      <c r="O8" s="40">
        <f t="shared" si="1"/>
        <v>9940000</v>
      </c>
    </row>
    <row r="9" spans="1:15" ht="13.5" customHeight="1" x14ac:dyDescent="0.35">
      <c r="A9" s="41">
        <v>6</v>
      </c>
      <c r="B9" s="42">
        <v>46087</v>
      </c>
      <c r="C9" s="41" t="s">
        <v>17</v>
      </c>
      <c r="D9" s="45">
        <v>20</v>
      </c>
      <c r="E9" s="45">
        <v>40</v>
      </c>
      <c r="F9" s="45">
        <v>50</v>
      </c>
      <c r="G9" s="45">
        <v>0</v>
      </c>
      <c r="H9" s="45">
        <v>0</v>
      </c>
      <c r="I9" s="45">
        <v>40</v>
      </c>
      <c r="J9" s="45">
        <v>0</v>
      </c>
      <c r="K9" s="45">
        <v>40</v>
      </c>
      <c r="L9" s="45">
        <v>0</v>
      </c>
      <c r="M9" s="45">
        <v>0</v>
      </c>
      <c r="N9" s="39">
        <f t="shared" si="0"/>
        <v>190</v>
      </c>
      <c r="O9" s="40">
        <f t="shared" si="1"/>
        <v>6080000</v>
      </c>
    </row>
    <row r="10" spans="1:15" ht="13.5" customHeight="1" x14ac:dyDescent="0.35">
      <c r="A10" s="48">
        <v>7</v>
      </c>
      <c r="B10" s="49">
        <v>46088</v>
      </c>
      <c r="C10" s="52" t="s">
        <v>18</v>
      </c>
      <c r="D10" s="50">
        <v>30</v>
      </c>
      <c r="E10" s="50">
        <v>50</v>
      </c>
      <c r="F10" s="50">
        <v>50</v>
      </c>
      <c r="G10" s="50">
        <v>0</v>
      </c>
      <c r="H10" s="50">
        <v>0</v>
      </c>
      <c r="I10" s="50">
        <v>50</v>
      </c>
      <c r="J10" s="50">
        <v>0</v>
      </c>
      <c r="K10" s="50">
        <v>40</v>
      </c>
      <c r="L10" s="50">
        <v>0</v>
      </c>
      <c r="M10" s="50">
        <v>0</v>
      </c>
      <c r="N10" s="39">
        <f t="shared" si="0"/>
        <v>220</v>
      </c>
      <c r="O10" s="40">
        <f t="shared" si="1"/>
        <v>6890000</v>
      </c>
    </row>
    <row r="11" spans="1:15" ht="13.5" customHeight="1" x14ac:dyDescent="0.35">
      <c r="A11" s="41">
        <v>8</v>
      </c>
      <c r="B11" s="42">
        <v>46089</v>
      </c>
      <c r="C11" s="53" t="s">
        <v>19</v>
      </c>
      <c r="D11" s="45">
        <v>30</v>
      </c>
      <c r="E11" s="45">
        <v>50</v>
      </c>
      <c r="F11" s="45">
        <v>0</v>
      </c>
      <c r="G11" s="45">
        <v>40</v>
      </c>
      <c r="H11" s="45">
        <v>0</v>
      </c>
      <c r="I11" s="45">
        <v>50</v>
      </c>
      <c r="J11" s="45">
        <v>0</v>
      </c>
      <c r="K11" s="45">
        <v>40</v>
      </c>
      <c r="L11" s="45">
        <v>0</v>
      </c>
      <c r="M11" s="45">
        <v>0</v>
      </c>
      <c r="N11" s="39">
        <f t="shared" si="0"/>
        <v>210</v>
      </c>
      <c r="O11" s="40">
        <f t="shared" si="1"/>
        <v>8090000</v>
      </c>
    </row>
    <row r="12" spans="1:15" ht="13.5" customHeight="1" x14ac:dyDescent="0.35">
      <c r="A12" s="48">
        <v>9</v>
      </c>
      <c r="B12" s="49">
        <v>46090</v>
      </c>
      <c r="C12" s="48" t="s">
        <v>20</v>
      </c>
      <c r="D12" s="104">
        <v>30</v>
      </c>
      <c r="E12" s="50">
        <v>50</v>
      </c>
      <c r="F12" s="50">
        <v>0</v>
      </c>
      <c r="G12" s="104">
        <v>40</v>
      </c>
      <c r="H12" s="51">
        <v>0</v>
      </c>
      <c r="I12" s="50">
        <v>0</v>
      </c>
      <c r="J12" s="50">
        <v>0</v>
      </c>
      <c r="K12" s="51">
        <v>50</v>
      </c>
      <c r="L12" s="50">
        <v>0</v>
      </c>
      <c r="M12" s="104">
        <v>60</v>
      </c>
      <c r="N12" s="39">
        <f t="shared" si="0"/>
        <v>230</v>
      </c>
      <c r="O12" s="40">
        <f t="shared" si="1"/>
        <v>9590000</v>
      </c>
    </row>
    <row r="13" spans="1:15" ht="13.5" customHeight="1" x14ac:dyDescent="0.35">
      <c r="A13" s="41">
        <v>10</v>
      </c>
      <c r="B13" s="42">
        <v>46091</v>
      </c>
      <c r="C13" s="41" t="s">
        <v>21</v>
      </c>
      <c r="D13" s="45">
        <v>30</v>
      </c>
      <c r="E13" s="45">
        <v>50</v>
      </c>
      <c r="F13" s="45">
        <v>50</v>
      </c>
      <c r="G13" s="43">
        <v>40</v>
      </c>
      <c r="H13" s="45">
        <v>50</v>
      </c>
      <c r="I13" s="43">
        <v>0</v>
      </c>
      <c r="J13" s="45">
        <v>50</v>
      </c>
      <c r="K13" s="45">
        <v>0</v>
      </c>
      <c r="L13" s="43">
        <v>50</v>
      </c>
      <c r="M13" s="45">
        <v>60</v>
      </c>
      <c r="N13" s="39">
        <f t="shared" si="0"/>
        <v>380</v>
      </c>
      <c r="O13" s="40">
        <f t="shared" si="1"/>
        <v>12840000</v>
      </c>
    </row>
    <row r="14" spans="1:15" ht="13.5" customHeight="1" x14ac:dyDescent="0.35">
      <c r="A14" s="48">
        <v>11</v>
      </c>
      <c r="B14" s="49">
        <v>46092</v>
      </c>
      <c r="C14" s="48" t="s">
        <v>22</v>
      </c>
      <c r="D14" s="50">
        <v>30</v>
      </c>
      <c r="E14" s="50">
        <v>50</v>
      </c>
      <c r="F14" s="50">
        <v>50</v>
      </c>
      <c r="G14" s="50">
        <v>40</v>
      </c>
      <c r="H14" s="50">
        <v>50</v>
      </c>
      <c r="I14" s="51">
        <v>0</v>
      </c>
      <c r="J14" s="50">
        <v>50</v>
      </c>
      <c r="K14" s="51">
        <v>0</v>
      </c>
      <c r="L14" s="50">
        <v>50</v>
      </c>
      <c r="M14" s="50">
        <v>70</v>
      </c>
      <c r="N14" s="39">
        <f t="shared" si="0"/>
        <v>390</v>
      </c>
      <c r="O14" s="40">
        <f t="shared" si="1"/>
        <v>13190000</v>
      </c>
    </row>
    <row r="15" spans="1:15" ht="13.5" customHeight="1" x14ac:dyDescent="0.35">
      <c r="A15" s="41">
        <v>12</v>
      </c>
      <c r="B15" s="42">
        <v>46093</v>
      </c>
      <c r="C15" s="41" t="s">
        <v>16</v>
      </c>
      <c r="D15" s="45">
        <v>60</v>
      </c>
      <c r="E15" s="45">
        <v>50</v>
      </c>
      <c r="F15" s="45">
        <v>50</v>
      </c>
      <c r="G15" s="45">
        <v>50</v>
      </c>
      <c r="H15" s="45">
        <v>50</v>
      </c>
      <c r="I15" s="45">
        <v>0</v>
      </c>
      <c r="J15" s="43">
        <v>50</v>
      </c>
      <c r="K15" s="45">
        <v>70</v>
      </c>
      <c r="L15" s="45">
        <v>50</v>
      </c>
      <c r="M15" s="45">
        <v>70</v>
      </c>
      <c r="N15" s="39">
        <f t="shared" si="0"/>
        <v>500</v>
      </c>
      <c r="O15" s="40">
        <f t="shared" si="1"/>
        <v>18730000</v>
      </c>
    </row>
    <row r="16" spans="1:15" ht="13.5" customHeight="1" x14ac:dyDescent="0.35">
      <c r="A16" s="48">
        <v>13</v>
      </c>
      <c r="B16" s="49">
        <v>46094</v>
      </c>
      <c r="C16" s="48" t="s">
        <v>17</v>
      </c>
      <c r="D16" s="50">
        <v>50</v>
      </c>
      <c r="E16" s="50">
        <v>0</v>
      </c>
      <c r="F16" s="50">
        <v>50</v>
      </c>
      <c r="G16" s="50">
        <v>0</v>
      </c>
      <c r="H16" s="50">
        <v>50</v>
      </c>
      <c r="I16" s="50">
        <v>70</v>
      </c>
      <c r="J16" s="50">
        <v>50</v>
      </c>
      <c r="K16" s="50">
        <v>70</v>
      </c>
      <c r="L16" s="50">
        <v>50</v>
      </c>
      <c r="M16" s="50">
        <v>70</v>
      </c>
      <c r="N16" s="39">
        <f t="shared" si="0"/>
        <v>460</v>
      </c>
      <c r="O16" s="40">
        <f t="shared" si="1"/>
        <v>16150000</v>
      </c>
    </row>
    <row r="17" spans="1:15" ht="13.5" customHeight="1" x14ac:dyDescent="0.35">
      <c r="A17" s="41">
        <v>14</v>
      </c>
      <c r="B17" s="42">
        <v>46095</v>
      </c>
      <c r="C17" s="53" t="s">
        <v>18</v>
      </c>
      <c r="D17" s="45">
        <v>50</v>
      </c>
      <c r="E17" s="45">
        <v>0</v>
      </c>
      <c r="F17" s="45">
        <v>50</v>
      </c>
      <c r="G17" s="45">
        <v>50</v>
      </c>
      <c r="H17" s="45">
        <v>50</v>
      </c>
      <c r="I17" s="45">
        <v>70</v>
      </c>
      <c r="J17" s="45">
        <v>50</v>
      </c>
      <c r="K17" s="45">
        <v>80</v>
      </c>
      <c r="L17" s="45">
        <v>50</v>
      </c>
      <c r="M17" s="45">
        <v>70</v>
      </c>
      <c r="N17" s="39">
        <f t="shared" si="0"/>
        <v>520</v>
      </c>
      <c r="O17" s="40">
        <f t="shared" si="1"/>
        <v>19050000</v>
      </c>
    </row>
    <row r="18" spans="1:15" ht="13.5" customHeight="1" x14ac:dyDescent="0.35">
      <c r="A18" s="48">
        <v>15</v>
      </c>
      <c r="B18" s="49">
        <v>46096</v>
      </c>
      <c r="C18" s="52" t="s">
        <v>19</v>
      </c>
      <c r="D18" s="50">
        <v>50</v>
      </c>
      <c r="E18" s="50">
        <v>0</v>
      </c>
      <c r="F18" s="50">
        <v>50</v>
      </c>
      <c r="G18" s="51">
        <v>50</v>
      </c>
      <c r="H18" s="50">
        <v>50</v>
      </c>
      <c r="I18" s="50">
        <v>40</v>
      </c>
      <c r="J18" s="50">
        <v>50</v>
      </c>
      <c r="K18" s="50">
        <v>40</v>
      </c>
      <c r="L18" s="104">
        <v>50</v>
      </c>
      <c r="M18" s="50">
        <v>0</v>
      </c>
      <c r="N18" s="39">
        <f t="shared" si="0"/>
        <v>380</v>
      </c>
      <c r="O18" s="40">
        <f t="shared" si="1"/>
        <v>13250000</v>
      </c>
    </row>
    <row r="19" spans="1:15" ht="13.5" customHeight="1" x14ac:dyDescent="0.35">
      <c r="A19" s="56">
        <v>16</v>
      </c>
      <c r="B19" s="57">
        <v>46097</v>
      </c>
      <c r="C19" s="56" t="s">
        <v>20</v>
      </c>
      <c r="D19" s="58">
        <v>50</v>
      </c>
      <c r="E19" s="59">
        <v>0</v>
      </c>
      <c r="F19" s="59">
        <v>0</v>
      </c>
      <c r="G19" s="58">
        <v>0</v>
      </c>
      <c r="H19" s="58">
        <v>0</v>
      </c>
      <c r="I19" s="58">
        <v>25</v>
      </c>
      <c r="J19" s="59">
        <v>0</v>
      </c>
      <c r="K19" s="59">
        <v>25</v>
      </c>
      <c r="L19" s="58">
        <v>0</v>
      </c>
      <c r="M19" s="59">
        <v>0</v>
      </c>
      <c r="N19" s="60">
        <f t="shared" si="0"/>
        <v>100</v>
      </c>
      <c r="O19" s="61">
        <f t="shared" si="1"/>
        <v>3150000</v>
      </c>
    </row>
    <row r="20" spans="1:15" ht="13.5" customHeight="1" x14ac:dyDescent="0.35">
      <c r="A20" s="62">
        <v>17</v>
      </c>
      <c r="B20" s="63">
        <v>46098</v>
      </c>
      <c r="C20" s="62" t="s">
        <v>21</v>
      </c>
      <c r="D20" s="64">
        <v>40</v>
      </c>
      <c r="E20" s="64">
        <v>0</v>
      </c>
      <c r="F20" s="64">
        <v>0</v>
      </c>
      <c r="G20" s="64">
        <v>0</v>
      </c>
      <c r="H20" s="64">
        <v>0</v>
      </c>
      <c r="I20" s="64">
        <v>15</v>
      </c>
      <c r="J20" s="64">
        <v>0</v>
      </c>
      <c r="K20" s="64">
        <v>15</v>
      </c>
      <c r="L20" s="64">
        <v>0</v>
      </c>
      <c r="M20" s="64">
        <v>0</v>
      </c>
      <c r="N20" s="64">
        <f t="shared" si="0"/>
        <v>70</v>
      </c>
      <c r="O20" s="65">
        <f t="shared" si="1"/>
        <v>2070000</v>
      </c>
    </row>
    <row r="21" spans="1:15" ht="13.5" customHeight="1" x14ac:dyDescent="0.35">
      <c r="A21" s="62">
        <v>18</v>
      </c>
      <c r="B21" s="63">
        <v>46099</v>
      </c>
      <c r="C21" s="62" t="s">
        <v>22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f t="shared" si="0"/>
        <v>0</v>
      </c>
      <c r="O21" s="65">
        <f t="shared" si="1"/>
        <v>0</v>
      </c>
    </row>
    <row r="22" spans="1:15" ht="13.5" customHeight="1" x14ac:dyDescent="0.35">
      <c r="A22" s="62">
        <v>19</v>
      </c>
      <c r="B22" s="63">
        <v>46100</v>
      </c>
      <c r="C22" s="62" t="s">
        <v>16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f t="shared" si="0"/>
        <v>0</v>
      </c>
      <c r="O22" s="65">
        <f t="shared" si="1"/>
        <v>0</v>
      </c>
    </row>
    <row r="23" spans="1:15" ht="13.5" customHeight="1" x14ac:dyDescent="0.35">
      <c r="A23" s="66">
        <v>20</v>
      </c>
      <c r="B23" s="67">
        <v>46101</v>
      </c>
      <c r="C23" s="66" t="s">
        <v>17</v>
      </c>
      <c r="D23" s="68">
        <v>0</v>
      </c>
      <c r="E23" s="68">
        <v>0</v>
      </c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f t="shared" si="0"/>
        <v>0</v>
      </c>
      <c r="O23" s="69">
        <f t="shared" si="1"/>
        <v>0</v>
      </c>
    </row>
    <row r="24" spans="1:15" ht="13.5" customHeight="1" x14ac:dyDescent="0.35">
      <c r="A24" s="66">
        <v>21</v>
      </c>
      <c r="B24" s="67">
        <v>46102</v>
      </c>
      <c r="C24" s="66" t="s">
        <v>18</v>
      </c>
      <c r="D24" s="68">
        <v>0</v>
      </c>
      <c r="E24" s="68">
        <v>0</v>
      </c>
      <c r="F24" s="68">
        <v>0</v>
      </c>
      <c r="G24" s="68">
        <v>0</v>
      </c>
      <c r="H24" s="68">
        <v>0</v>
      </c>
      <c r="I24" s="68">
        <v>0</v>
      </c>
      <c r="J24" s="68">
        <v>0</v>
      </c>
      <c r="K24" s="68">
        <v>0</v>
      </c>
      <c r="L24" s="68">
        <v>0</v>
      </c>
      <c r="M24" s="68">
        <v>0</v>
      </c>
      <c r="N24" s="68">
        <f t="shared" si="0"/>
        <v>0</v>
      </c>
      <c r="O24" s="69">
        <f t="shared" si="1"/>
        <v>0</v>
      </c>
    </row>
    <row r="25" spans="1:15" ht="13.5" customHeight="1" x14ac:dyDescent="0.35">
      <c r="A25" s="66">
        <v>22</v>
      </c>
      <c r="B25" s="67">
        <v>46103</v>
      </c>
      <c r="C25" s="66" t="s">
        <v>19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0</v>
      </c>
      <c r="M25" s="68">
        <v>0</v>
      </c>
      <c r="N25" s="68">
        <f t="shared" si="0"/>
        <v>0</v>
      </c>
      <c r="O25" s="69">
        <f t="shared" si="1"/>
        <v>0</v>
      </c>
    </row>
    <row r="26" spans="1:15" ht="13.5" customHeight="1" x14ac:dyDescent="0.35">
      <c r="A26" s="66">
        <v>23</v>
      </c>
      <c r="B26" s="67">
        <v>46104</v>
      </c>
      <c r="C26" s="66" t="s">
        <v>20</v>
      </c>
      <c r="D26" s="68">
        <v>0</v>
      </c>
      <c r="E26" s="68">
        <v>0</v>
      </c>
      <c r="F26" s="68">
        <v>0</v>
      </c>
      <c r="G26" s="68">
        <v>0</v>
      </c>
      <c r="H26" s="68">
        <v>0</v>
      </c>
      <c r="I26" s="68">
        <v>0</v>
      </c>
      <c r="J26" s="68">
        <v>0</v>
      </c>
      <c r="K26" s="68">
        <v>0</v>
      </c>
      <c r="L26" s="68">
        <v>0</v>
      </c>
      <c r="M26" s="68">
        <v>0</v>
      </c>
      <c r="N26" s="68">
        <f t="shared" si="0"/>
        <v>0</v>
      </c>
      <c r="O26" s="69">
        <f t="shared" si="1"/>
        <v>0</v>
      </c>
    </row>
    <row r="27" spans="1:15" ht="13.5" customHeight="1" x14ac:dyDescent="0.35">
      <c r="A27" s="66">
        <v>24</v>
      </c>
      <c r="B27" s="67">
        <v>46105</v>
      </c>
      <c r="C27" s="66" t="s">
        <v>21</v>
      </c>
      <c r="D27" s="68">
        <v>0</v>
      </c>
      <c r="E27" s="68">
        <v>0</v>
      </c>
      <c r="F27" s="68">
        <v>0</v>
      </c>
      <c r="G27" s="68">
        <v>0</v>
      </c>
      <c r="H27" s="68">
        <v>0</v>
      </c>
      <c r="I27" s="68">
        <v>0</v>
      </c>
      <c r="J27" s="68">
        <v>0</v>
      </c>
      <c r="K27" s="68">
        <v>0</v>
      </c>
      <c r="L27" s="68">
        <v>0</v>
      </c>
      <c r="M27" s="68">
        <v>0</v>
      </c>
      <c r="N27" s="68">
        <f t="shared" si="0"/>
        <v>0</v>
      </c>
      <c r="O27" s="69">
        <f t="shared" si="1"/>
        <v>0</v>
      </c>
    </row>
    <row r="28" spans="1:15" ht="13.5" customHeight="1" x14ac:dyDescent="0.35">
      <c r="A28" s="70">
        <v>25</v>
      </c>
      <c r="B28" s="71">
        <v>46106</v>
      </c>
      <c r="C28" s="70" t="s">
        <v>22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f t="shared" si="0"/>
        <v>0</v>
      </c>
      <c r="O28" s="73">
        <f t="shared" si="1"/>
        <v>0</v>
      </c>
    </row>
    <row r="29" spans="1:15" ht="13.5" customHeight="1" x14ac:dyDescent="0.35">
      <c r="A29" s="41">
        <v>26</v>
      </c>
      <c r="B29" s="42">
        <v>46107</v>
      </c>
      <c r="C29" s="41" t="s">
        <v>16</v>
      </c>
      <c r="D29" s="44">
        <v>0</v>
      </c>
      <c r="E29" s="43">
        <v>0</v>
      </c>
      <c r="F29" s="43">
        <v>0</v>
      </c>
      <c r="G29" s="43">
        <v>0</v>
      </c>
      <c r="H29" s="43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39">
        <f t="shared" si="0"/>
        <v>0</v>
      </c>
      <c r="O29" s="40">
        <f t="shared" si="1"/>
        <v>0</v>
      </c>
    </row>
    <row r="30" spans="1:15" ht="13.5" customHeight="1" x14ac:dyDescent="0.35">
      <c r="A30" s="29">
        <v>27</v>
      </c>
      <c r="B30" s="30">
        <v>46108</v>
      </c>
      <c r="C30" s="29" t="s">
        <v>17</v>
      </c>
      <c r="D30" s="32">
        <v>0</v>
      </c>
      <c r="E30" s="32">
        <v>0</v>
      </c>
      <c r="F30" s="32">
        <v>0</v>
      </c>
      <c r="G30" s="32">
        <v>0</v>
      </c>
      <c r="H30" s="32">
        <v>0</v>
      </c>
      <c r="I30" s="31">
        <v>0</v>
      </c>
      <c r="J30" s="31">
        <v>0</v>
      </c>
      <c r="K30" s="31">
        <v>0</v>
      </c>
      <c r="L30" s="32">
        <v>0</v>
      </c>
      <c r="M30" s="33">
        <v>0</v>
      </c>
      <c r="N30" s="39">
        <f t="shared" si="0"/>
        <v>0</v>
      </c>
      <c r="O30" s="40">
        <f t="shared" si="1"/>
        <v>0</v>
      </c>
    </row>
    <row r="31" spans="1:15" ht="13.5" customHeight="1" x14ac:dyDescent="0.35">
      <c r="A31" s="12">
        <v>28</v>
      </c>
      <c r="B31" s="13">
        <v>46109</v>
      </c>
      <c r="C31" s="14" t="s">
        <v>18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50</v>
      </c>
      <c r="J31" s="15">
        <v>0</v>
      </c>
      <c r="K31" s="16">
        <v>0</v>
      </c>
      <c r="L31" s="15">
        <v>0</v>
      </c>
      <c r="M31" s="15">
        <v>0</v>
      </c>
      <c r="N31" s="39">
        <f t="shared" si="0"/>
        <v>50</v>
      </c>
      <c r="O31" s="40">
        <f t="shared" si="1"/>
        <v>1250000</v>
      </c>
    </row>
    <row r="32" spans="1:15" ht="13.5" customHeight="1" x14ac:dyDescent="0.35">
      <c r="A32" s="12">
        <v>29</v>
      </c>
      <c r="B32" s="13">
        <v>46110</v>
      </c>
      <c r="C32" s="14" t="s">
        <v>19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50</v>
      </c>
      <c r="J32" s="15">
        <v>80</v>
      </c>
      <c r="K32" s="15">
        <v>0</v>
      </c>
      <c r="L32" s="15">
        <v>70</v>
      </c>
      <c r="M32" s="15">
        <v>0</v>
      </c>
      <c r="N32" s="39">
        <f t="shared" si="0"/>
        <v>200</v>
      </c>
      <c r="O32" s="40">
        <f t="shared" si="1"/>
        <v>7440000</v>
      </c>
    </row>
    <row r="33" spans="1:15" ht="13.5" customHeight="1" x14ac:dyDescent="0.35">
      <c r="A33" s="41">
        <v>30</v>
      </c>
      <c r="B33" s="42">
        <v>46111</v>
      </c>
      <c r="C33" s="41" t="s">
        <v>20</v>
      </c>
      <c r="D33" s="45">
        <v>0</v>
      </c>
      <c r="E33" s="43">
        <v>0</v>
      </c>
      <c r="F33" s="43">
        <v>0</v>
      </c>
      <c r="G33" s="44">
        <v>0</v>
      </c>
      <c r="H33" s="43">
        <v>120</v>
      </c>
      <c r="I33" s="45">
        <v>0</v>
      </c>
      <c r="J33" s="43">
        <v>90</v>
      </c>
      <c r="K33" s="43">
        <v>0</v>
      </c>
      <c r="L33" s="43">
        <v>70</v>
      </c>
      <c r="M33" s="45">
        <v>0</v>
      </c>
      <c r="N33" s="39">
        <f t="shared" si="0"/>
        <v>280</v>
      </c>
      <c r="O33" s="40">
        <f t="shared" si="1"/>
        <v>10770000</v>
      </c>
    </row>
    <row r="34" spans="1:15" ht="13.5" customHeight="1" thickBot="1" x14ac:dyDescent="0.4">
      <c r="A34" s="3">
        <v>31</v>
      </c>
      <c r="B34" s="4">
        <v>46112</v>
      </c>
      <c r="C34" s="3" t="s">
        <v>21</v>
      </c>
      <c r="D34" s="5">
        <v>0</v>
      </c>
      <c r="E34" s="5">
        <v>0</v>
      </c>
      <c r="F34" s="5">
        <v>0</v>
      </c>
      <c r="G34" s="5">
        <v>0</v>
      </c>
      <c r="H34" s="5">
        <v>130</v>
      </c>
      <c r="I34" s="5">
        <v>0</v>
      </c>
      <c r="J34" s="5">
        <v>90</v>
      </c>
      <c r="K34" s="5">
        <v>0</v>
      </c>
      <c r="L34" s="5">
        <v>80</v>
      </c>
      <c r="M34" s="5">
        <v>0</v>
      </c>
      <c r="N34" s="39">
        <f t="shared" si="0"/>
        <v>300</v>
      </c>
      <c r="O34" s="40">
        <f t="shared" si="1"/>
        <v>11570000</v>
      </c>
    </row>
    <row r="35" spans="1:15" ht="18" customHeight="1" thickBot="1" x14ac:dyDescent="0.4">
      <c r="A35" s="117" t="s">
        <v>27</v>
      </c>
      <c r="B35" s="117"/>
      <c r="C35" s="117"/>
      <c r="D35" s="54">
        <f t="shared" ref="D35:O35" si="2">SUM(D4:D34)</f>
        <v>600</v>
      </c>
      <c r="E35" s="54">
        <f t="shared" si="2"/>
        <v>540</v>
      </c>
      <c r="F35" s="54">
        <f t="shared" si="2"/>
        <v>570</v>
      </c>
      <c r="G35" s="54">
        <f t="shared" si="2"/>
        <v>450</v>
      </c>
      <c r="H35" s="54">
        <f t="shared" si="2"/>
        <v>730</v>
      </c>
      <c r="I35" s="54">
        <f t="shared" si="2"/>
        <v>500</v>
      </c>
      <c r="J35" s="54">
        <f t="shared" si="2"/>
        <v>750</v>
      </c>
      <c r="K35" s="54">
        <f t="shared" si="2"/>
        <v>620</v>
      </c>
      <c r="L35" s="54">
        <f t="shared" si="2"/>
        <v>660</v>
      </c>
      <c r="M35" s="54">
        <f t="shared" si="2"/>
        <v>570</v>
      </c>
      <c r="N35" s="54">
        <f t="shared" si="2"/>
        <v>5990</v>
      </c>
      <c r="O35" s="55">
        <f t="shared" si="2"/>
        <v>214910000</v>
      </c>
    </row>
  </sheetData>
  <mergeCells count="3">
    <mergeCell ref="A1:O1"/>
    <mergeCell ref="A2:O2"/>
    <mergeCell ref="A35:C3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showGridLines="0" zoomScaleNormal="100" workbookViewId="0">
      <pane ySplit="3" topLeftCell="A4" activePane="bottomLeft" state="frozen"/>
      <selection pane="bottomLeft" activeCell="A2" sqref="A2:O2"/>
    </sheetView>
  </sheetViews>
  <sheetFormatPr defaultColWidth="8.6328125" defaultRowHeight="14.5" x14ac:dyDescent="0.35"/>
  <cols>
    <col min="1" max="1" width="4" style="1" customWidth="1"/>
    <col min="2" max="2" width="12" style="1" customWidth="1"/>
    <col min="3" max="3" width="9" style="1" customWidth="1"/>
    <col min="4" max="13" width="17" style="1" customWidth="1"/>
    <col min="14" max="14" width="10" style="1" customWidth="1"/>
    <col min="15" max="15" width="22" style="1" customWidth="1"/>
  </cols>
  <sheetData>
    <row r="1" spans="1:15" ht="27.75" customHeight="1" x14ac:dyDescent="0.35">
      <c r="A1" s="118" t="s">
        <v>28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</row>
    <row r="2" spans="1:15" ht="15.75" customHeight="1" thickBot="1" x14ac:dyDescent="0.4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</row>
    <row r="3" spans="1:15" ht="37.5" customHeight="1" thickBot="1" x14ac:dyDescent="0.4">
      <c r="A3" s="74" t="s">
        <v>1</v>
      </c>
      <c r="B3" s="74" t="s">
        <v>2</v>
      </c>
      <c r="C3" s="74" t="s">
        <v>3</v>
      </c>
      <c r="D3" s="74" t="s">
        <v>4</v>
      </c>
      <c r="E3" s="74" t="s">
        <v>5</v>
      </c>
      <c r="F3" s="74" t="s">
        <v>6</v>
      </c>
      <c r="G3" s="74" t="s">
        <v>7</v>
      </c>
      <c r="H3" s="74" t="s">
        <v>8</v>
      </c>
      <c r="I3" s="74" t="s">
        <v>9</v>
      </c>
      <c r="J3" s="74" t="s">
        <v>10</v>
      </c>
      <c r="K3" s="74" t="s">
        <v>11</v>
      </c>
      <c r="L3" s="74" t="s">
        <v>12</v>
      </c>
      <c r="M3" s="74" t="s">
        <v>13</v>
      </c>
      <c r="N3" s="74" t="s">
        <v>14</v>
      </c>
      <c r="O3" s="74" t="s">
        <v>15</v>
      </c>
    </row>
    <row r="4" spans="1:15" ht="13.5" customHeight="1" x14ac:dyDescent="0.35">
      <c r="A4" s="3">
        <v>1</v>
      </c>
      <c r="B4" s="4">
        <v>46113</v>
      </c>
      <c r="C4" s="3" t="s">
        <v>22</v>
      </c>
      <c r="D4" s="5">
        <v>0</v>
      </c>
      <c r="E4" s="5">
        <v>0</v>
      </c>
      <c r="F4" s="46">
        <v>0</v>
      </c>
      <c r="G4" s="46">
        <v>0</v>
      </c>
      <c r="H4" s="5">
        <v>0</v>
      </c>
      <c r="I4" s="5">
        <v>0</v>
      </c>
      <c r="J4" s="5">
        <v>40</v>
      </c>
      <c r="K4" s="46">
        <v>0</v>
      </c>
      <c r="L4" s="5">
        <v>0</v>
      </c>
      <c r="M4" s="5">
        <v>0</v>
      </c>
      <c r="N4" s="75">
        <f t="shared" ref="N4:N33" si="0">SUM(D4:M4)</f>
        <v>40</v>
      </c>
      <c r="O4" s="76">
        <f t="shared" ref="O4:O33" si="1">D4*18000+E4*38000+F4*12000+G4*45000+H4*35000+I4*25000+J4*38000+K4*65000+L4*45000+M4*35000</f>
        <v>1520000</v>
      </c>
    </row>
    <row r="5" spans="1:15" ht="13.5" customHeight="1" x14ac:dyDescent="0.35">
      <c r="A5" s="3">
        <v>2</v>
      </c>
      <c r="B5" s="4">
        <v>46114</v>
      </c>
      <c r="C5" s="3" t="s">
        <v>16</v>
      </c>
      <c r="D5" s="107">
        <v>40</v>
      </c>
      <c r="E5" s="5">
        <v>0</v>
      </c>
      <c r="F5" s="5">
        <v>0</v>
      </c>
      <c r="G5" s="46">
        <v>0</v>
      </c>
      <c r="H5" s="46">
        <v>0</v>
      </c>
      <c r="I5" s="5">
        <v>0</v>
      </c>
      <c r="J5" s="5">
        <v>40</v>
      </c>
      <c r="K5" s="5">
        <v>0</v>
      </c>
      <c r="L5" s="5">
        <v>0</v>
      </c>
      <c r="M5" s="5">
        <v>0</v>
      </c>
      <c r="N5" s="75">
        <f t="shared" si="0"/>
        <v>80</v>
      </c>
      <c r="O5" s="76">
        <f t="shared" si="1"/>
        <v>2240000</v>
      </c>
    </row>
    <row r="6" spans="1:15" ht="13.5" customHeight="1" x14ac:dyDescent="0.35">
      <c r="A6" s="3">
        <v>3</v>
      </c>
      <c r="B6" s="4">
        <v>46115</v>
      </c>
      <c r="C6" s="3" t="s">
        <v>17</v>
      </c>
      <c r="D6" s="5">
        <v>40</v>
      </c>
      <c r="E6" s="5">
        <v>0</v>
      </c>
      <c r="F6" s="5">
        <v>40</v>
      </c>
      <c r="G6" s="5">
        <v>0</v>
      </c>
      <c r="H6" s="5">
        <v>0</v>
      </c>
      <c r="I6" s="5">
        <v>0</v>
      </c>
      <c r="J6" s="5">
        <v>40</v>
      </c>
      <c r="K6" s="5">
        <v>0</v>
      </c>
      <c r="L6" s="5">
        <v>0</v>
      </c>
      <c r="M6" s="5">
        <v>0</v>
      </c>
      <c r="N6" s="75">
        <f t="shared" si="0"/>
        <v>120</v>
      </c>
      <c r="O6" s="76">
        <f t="shared" si="1"/>
        <v>2720000</v>
      </c>
    </row>
    <row r="7" spans="1:15" ht="13.5" customHeight="1" x14ac:dyDescent="0.35">
      <c r="A7" s="12">
        <v>4</v>
      </c>
      <c r="B7" s="13">
        <v>46116</v>
      </c>
      <c r="C7" s="14" t="s">
        <v>18</v>
      </c>
      <c r="D7" s="16">
        <v>40</v>
      </c>
      <c r="E7" s="108">
        <v>40</v>
      </c>
      <c r="F7" s="16">
        <v>40</v>
      </c>
      <c r="G7" s="16">
        <v>0</v>
      </c>
      <c r="H7" s="16">
        <v>0</v>
      </c>
      <c r="I7" s="16">
        <v>0</v>
      </c>
      <c r="J7" s="16">
        <v>50</v>
      </c>
      <c r="K7" s="15">
        <v>0</v>
      </c>
      <c r="L7" s="16">
        <v>0</v>
      </c>
      <c r="M7" s="16">
        <v>0</v>
      </c>
      <c r="N7" s="75">
        <f t="shared" si="0"/>
        <v>170</v>
      </c>
      <c r="O7" s="76">
        <f t="shared" si="1"/>
        <v>4620000</v>
      </c>
    </row>
    <row r="8" spans="1:15" ht="13.5" customHeight="1" x14ac:dyDescent="0.35">
      <c r="A8" s="12">
        <v>5</v>
      </c>
      <c r="B8" s="13">
        <v>46117</v>
      </c>
      <c r="C8" s="14" t="s">
        <v>19</v>
      </c>
      <c r="D8" s="16">
        <v>50</v>
      </c>
      <c r="E8" s="16">
        <v>40</v>
      </c>
      <c r="F8" s="16">
        <v>40</v>
      </c>
      <c r="G8" s="16">
        <v>0</v>
      </c>
      <c r="H8" s="16">
        <v>40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75">
        <f t="shared" si="0"/>
        <v>170</v>
      </c>
      <c r="O8" s="76">
        <f t="shared" si="1"/>
        <v>4300000</v>
      </c>
    </row>
    <row r="9" spans="1:15" ht="13.5" customHeight="1" x14ac:dyDescent="0.35">
      <c r="A9" s="3">
        <v>6</v>
      </c>
      <c r="B9" s="4">
        <v>46118</v>
      </c>
      <c r="C9" s="3" t="s">
        <v>20</v>
      </c>
      <c r="D9" s="5">
        <v>0</v>
      </c>
      <c r="E9" s="5">
        <v>40</v>
      </c>
      <c r="F9" s="5">
        <v>0</v>
      </c>
      <c r="G9" s="5">
        <v>0</v>
      </c>
      <c r="H9" s="5">
        <v>40</v>
      </c>
      <c r="I9" s="5">
        <v>40</v>
      </c>
      <c r="J9" s="5">
        <v>0</v>
      </c>
      <c r="K9" s="5">
        <v>0</v>
      </c>
      <c r="L9" s="5">
        <v>0</v>
      </c>
      <c r="M9" s="5">
        <v>0</v>
      </c>
      <c r="N9" s="75">
        <f t="shared" si="0"/>
        <v>120</v>
      </c>
      <c r="O9" s="76">
        <f t="shared" si="1"/>
        <v>3920000</v>
      </c>
    </row>
    <row r="10" spans="1:15" ht="13.5" customHeight="1" x14ac:dyDescent="0.35">
      <c r="A10" s="3">
        <v>7</v>
      </c>
      <c r="B10" s="4">
        <v>46119</v>
      </c>
      <c r="C10" s="3" t="s">
        <v>21</v>
      </c>
      <c r="D10" s="5">
        <v>0</v>
      </c>
      <c r="E10" s="5">
        <v>50</v>
      </c>
      <c r="F10" s="5">
        <v>0</v>
      </c>
      <c r="G10" s="5">
        <v>50</v>
      </c>
      <c r="H10" s="5">
        <v>50</v>
      </c>
      <c r="I10" s="5">
        <v>40</v>
      </c>
      <c r="J10" s="46">
        <v>0</v>
      </c>
      <c r="K10" s="5">
        <v>0</v>
      </c>
      <c r="L10" s="5">
        <v>0</v>
      </c>
      <c r="M10" s="5">
        <v>0</v>
      </c>
      <c r="N10" s="75">
        <f t="shared" si="0"/>
        <v>190</v>
      </c>
      <c r="O10" s="76">
        <f t="shared" si="1"/>
        <v>6900000</v>
      </c>
    </row>
    <row r="11" spans="1:15" ht="13.5" customHeight="1" x14ac:dyDescent="0.35">
      <c r="A11" s="77">
        <v>8</v>
      </c>
      <c r="B11" s="78">
        <v>46120</v>
      </c>
      <c r="C11" s="77" t="s">
        <v>22</v>
      </c>
      <c r="D11" s="79">
        <v>0</v>
      </c>
      <c r="E11" s="79">
        <v>0</v>
      </c>
      <c r="F11" s="79">
        <v>0</v>
      </c>
      <c r="G11" s="79">
        <v>60</v>
      </c>
      <c r="H11" s="79">
        <v>50</v>
      </c>
      <c r="I11" s="106">
        <v>40</v>
      </c>
      <c r="J11" s="79">
        <v>0</v>
      </c>
      <c r="K11" s="80">
        <v>0</v>
      </c>
      <c r="L11" s="79">
        <v>0</v>
      </c>
      <c r="M11" s="79">
        <v>40</v>
      </c>
      <c r="N11" s="75">
        <f t="shared" si="0"/>
        <v>190</v>
      </c>
      <c r="O11" s="76">
        <f t="shared" si="1"/>
        <v>6850000</v>
      </c>
    </row>
    <row r="12" spans="1:15" ht="13.5" customHeight="1" x14ac:dyDescent="0.35">
      <c r="A12" s="29">
        <v>9</v>
      </c>
      <c r="B12" s="30">
        <v>46121</v>
      </c>
      <c r="C12" s="29" t="s">
        <v>16</v>
      </c>
      <c r="D12" s="32">
        <v>0</v>
      </c>
      <c r="E12" s="32">
        <v>0</v>
      </c>
      <c r="F12" s="32">
        <v>0</v>
      </c>
      <c r="G12" s="32">
        <v>0</v>
      </c>
      <c r="H12" s="32">
        <v>0</v>
      </c>
      <c r="I12" s="32">
        <v>40</v>
      </c>
      <c r="J12" s="32">
        <v>0</v>
      </c>
      <c r="K12" s="32">
        <v>40</v>
      </c>
      <c r="L12" s="32">
        <v>0</v>
      </c>
      <c r="M12" s="32">
        <v>40</v>
      </c>
      <c r="N12" s="75">
        <f t="shared" si="0"/>
        <v>120</v>
      </c>
      <c r="O12" s="76">
        <f t="shared" si="1"/>
        <v>5000000</v>
      </c>
    </row>
    <row r="13" spans="1:15" ht="13.5" customHeight="1" x14ac:dyDescent="0.35">
      <c r="A13" s="77">
        <v>10</v>
      </c>
      <c r="B13" s="78">
        <v>46122</v>
      </c>
      <c r="C13" s="77" t="s">
        <v>17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J13" s="79">
        <v>0</v>
      </c>
      <c r="K13" s="79">
        <v>40</v>
      </c>
      <c r="L13" s="79">
        <v>40</v>
      </c>
      <c r="M13" s="79">
        <v>40</v>
      </c>
      <c r="N13" s="75">
        <f t="shared" si="0"/>
        <v>120</v>
      </c>
      <c r="O13" s="76">
        <f t="shared" si="1"/>
        <v>5800000</v>
      </c>
    </row>
    <row r="14" spans="1:15" ht="13.5" customHeight="1" x14ac:dyDescent="0.35">
      <c r="A14" s="12">
        <v>11</v>
      </c>
      <c r="B14" s="13">
        <v>46123</v>
      </c>
      <c r="C14" s="14" t="s">
        <v>18</v>
      </c>
      <c r="D14" s="15">
        <v>0</v>
      </c>
      <c r="E14" s="15">
        <v>0</v>
      </c>
      <c r="F14" s="15">
        <v>0</v>
      </c>
      <c r="G14" s="16">
        <v>0</v>
      </c>
      <c r="H14" s="15">
        <v>0</v>
      </c>
      <c r="I14" s="16">
        <v>0</v>
      </c>
      <c r="J14" s="15">
        <v>0</v>
      </c>
      <c r="K14" s="15">
        <v>40</v>
      </c>
      <c r="L14" s="15">
        <v>40</v>
      </c>
      <c r="M14" s="15">
        <v>50</v>
      </c>
      <c r="N14" s="75">
        <f t="shared" si="0"/>
        <v>130</v>
      </c>
      <c r="O14" s="76">
        <f t="shared" si="1"/>
        <v>6150000</v>
      </c>
    </row>
    <row r="15" spans="1:15" ht="13.5" customHeight="1" x14ac:dyDescent="0.35">
      <c r="A15" s="12">
        <v>12</v>
      </c>
      <c r="B15" s="13">
        <v>46124</v>
      </c>
      <c r="C15" s="14" t="s">
        <v>19</v>
      </c>
      <c r="D15" s="16">
        <v>0</v>
      </c>
      <c r="E15" s="15">
        <v>0</v>
      </c>
      <c r="F15" s="16">
        <v>0</v>
      </c>
      <c r="G15" s="16">
        <v>0</v>
      </c>
      <c r="H15" s="15">
        <v>0</v>
      </c>
      <c r="I15" s="16">
        <v>0</v>
      </c>
      <c r="J15" s="15">
        <v>0</v>
      </c>
      <c r="K15" s="15">
        <v>40</v>
      </c>
      <c r="L15" s="16">
        <v>40</v>
      </c>
      <c r="M15" s="15">
        <v>50</v>
      </c>
      <c r="N15" s="75">
        <f t="shared" si="0"/>
        <v>130</v>
      </c>
      <c r="O15" s="76">
        <f t="shared" si="1"/>
        <v>6150000</v>
      </c>
    </row>
    <row r="16" spans="1:15" ht="13.5" customHeight="1" x14ac:dyDescent="0.35">
      <c r="A16" s="29">
        <v>13</v>
      </c>
      <c r="B16" s="30">
        <v>46125</v>
      </c>
      <c r="C16" s="29" t="s">
        <v>20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1">
        <v>50</v>
      </c>
      <c r="L16" s="32">
        <v>0</v>
      </c>
      <c r="M16" s="32">
        <v>0</v>
      </c>
      <c r="N16" s="75">
        <f t="shared" si="0"/>
        <v>50</v>
      </c>
      <c r="O16" s="76">
        <f t="shared" si="1"/>
        <v>3250000</v>
      </c>
    </row>
    <row r="17" spans="1:15" ht="13.5" customHeight="1" x14ac:dyDescent="0.35">
      <c r="A17" s="77">
        <v>14</v>
      </c>
      <c r="B17" s="78">
        <v>46126</v>
      </c>
      <c r="C17" s="77" t="s">
        <v>21</v>
      </c>
      <c r="D17" s="79">
        <v>0</v>
      </c>
      <c r="E17" s="80">
        <v>0</v>
      </c>
      <c r="F17" s="79">
        <v>0</v>
      </c>
      <c r="G17" s="79">
        <v>0</v>
      </c>
      <c r="H17" s="79">
        <v>0</v>
      </c>
      <c r="I17" s="79">
        <v>0</v>
      </c>
      <c r="J17" s="79">
        <v>0</v>
      </c>
      <c r="K17" s="81">
        <v>0</v>
      </c>
      <c r="L17" s="79">
        <v>0</v>
      </c>
      <c r="M17" s="79">
        <v>0</v>
      </c>
      <c r="N17" s="75">
        <f t="shared" si="0"/>
        <v>0</v>
      </c>
      <c r="O17" s="76">
        <f t="shared" si="1"/>
        <v>0</v>
      </c>
    </row>
    <row r="18" spans="1:15" ht="13.5" customHeight="1" x14ac:dyDescent="0.35">
      <c r="A18" s="29">
        <v>15</v>
      </c>
      <c r="B18" s="30">
        <v>46127</v>
      </c>
      <c r="C18" s="29" t="s">
        <v>22</v>
      </c>
      <c r="D18" s="32">
        <v>0</v>
      </c>
      <c r="E18" s="32">
        <v>0</v>
      </c>
      <c r="F18" s="32">
        <v>50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1">
        <v>0</v>
      </c>
      <c r="M18" s="32">
        <v>0</v>
      </c>
      <c r="N18" s="75">
        <f t="shared" si="0"/>
        <v>50</v>
      </c>
      <c r="O18" s="76">
        <f t="shared" si="1"/>
        <v>600000</v>
      </c>
    </row>
    <row r="19" spans="1:15" ht="13.5" customHeight="1" x14ac:dyDescent="0.35">
      <c r="A19" s="77">
        <v>16</v>
      </c>
      <c r="B19" s="78">
        <v>46128</v>
      </c>
      <c r="C19" s="77" t="s">
        <v>16</v>
      </c>
      <c r="D19" s="79">
        <v>40</v>
      </c>
      <c r="E19" s="79">
        <v>0</v>
      </c>
      <c r="F19" s="79">
        <v>50</v>
      </c>
      <c r="G19" s="79">
        <v>0</v>
      </c>
      <c r="H19" s="79">
        <v>0</v>
      </c>
      <c r="I19" s="79">
        <v>0</v>
      </c>
      <c r="J19" s="79">
        <v>0</v>
      </c>
      <c r="K19" s="79">
        <v>0</v>
      </c>
      <c r="L19" s="80">
        <v>0</v>
      </c>
      <c r="M19" s="81">
        <v>0</v>
      </c>
      <c r="N19" s="75">
        <f t="shared" si="0"/>
        <v>90</v>
      </c>
      <c r="O19" s="76">
        <f t="shared" si="1"/>
        <v>1320000</v>
      </c>
    </row>
    <row r="20" spans="1:15" ht="13.5" customHeight="1" x14ac:dyDescent="0.35">
      <c r="A20" s="29">
        <v>17</v>
      </c>
      <c r="B20" s="30">
        <v>46129</v>
      </c>
      <c r="C20" s="29" t="s">
        <v>17</v>
      </c>
      <c r="D20" s="31">
        <v>40</v>
      </c>
      <c r="E20" s="31">
        <v>0</v>
      </c>
      <c r="F20" s="31">
        <v>0</v>
      </c>
      <c r="G20" s="31">
        <v>0</v>
      </c>
      <c r="H20" s="32">
        <v>0</v>
      </c>
      <c r="I20" s="32">
        <v>0</v>
      </c>
      <c r="J20" s="31">
        <v>50</v>
      </c>
      <c r="K20" s="32">
        <v>0</v>
      </c>
      <c r="L20" s="32">
        <v>0</v>
      </c>
      <c r="M20" s="31">
        <v>0</v>
      </c>
      <c r="N20" s="75">
        <f t="shared" si="0"/>
        <v>90</v>
      </c>
      <c r="O20" s="76">
        <f t="shared" si="1"/>
        <v>2620000</v>
      </c>
    </row>
    <row r="21" spans="1:15" ht="13.5" customHeight="1" x14ac:dyDescent="0.35">
      <c r="A21" s="12">
        <v>18</v>
      </c>
      <c r="B21" s="13">
        <v>46130</v>
      </c>
      <c r="C21" s="14" t="s">
        <v>18</v>
      </c>
      <c r="D21" s="16">
        <v>50</v>
      </c>
      <c r="E21" s="16">
        <v>0</v>
      </c>
      <c r="F21" s="16">
        <v>0</v>
      </c>
      <c r="G21" s="16">
        <v>0</v>
      </c>
      <c r="H21" s="15">
        <v>0</v>
      </c>
      <c r="I21" s="15">
        <v>0</v>
      </c>
      <c r="J21" s="15">
        <v>50</v>
      </c>
      <c r="K21" s="16">
        <v>0</v>
      </c>
      <c r="L21" s="16">
        <v>40</v>
      </c>
      <c r="M21" s="15">
        <v>0</v>
      </c>
      <c r="N21" s="75">
        <f t="shared" si="0"/>
        <v>140</v>
      </c>
      <c r="O21" s="76">
        <f t="shared" si="1"/>
        <v>4600000</v>
      </c>
    </row>
    <row r="22" spans="1:15" ht="13.5" customHeight="1" x14ac:dyDescent="0.35">
      <c r="A22" s="12">
        <v>19</v>
      </c>
      <c r="B22" s="13">
        <v>46131</v>
      </c>
      <c r="C22" s="14" t="s">
        <v>19</v>
      </c>
      <c r="D22" s="15">
        <v>0</v>
      </c>
      <c r="E22" s="15">
        <v>0</v>
      </c>
      <c r="F22" s="15">
        <v>0</v>
      </c>
      <c r="G22" s="15">
        <v>0</v>
      </c>
      <c r="H22" s="15">
        <v>40</v>
      </c>
      <c r="I22" s="15">
        <v>0</v>
      </c>
      <c r="J22" s="16">
        <v>50</v>
      </c>
      <c r="K22" s="35">
        <v>0</v>
      </c>
      <c r="L22" s="16">
        <v>40</v>
      </c>
      <c r="M22" s="16">
        <v>0</v>
      </c>
      <c r="N22" s="75">
        <f t="shared" si="0"/>
        <v>130</v>
      </c>
      <c r="O22" s="76">
        <f t="shared" si="1"/>
        <v>5100000</v>
      </c>
    </row>
    <row r="23" spans="1:15" ht="13.5" customHeight="1" x14ac:dyDescent="0.35">
      <c r="A23" s="77">
        <v>20</v>
      </c>
      <c r="B23" s="78">
        <v>46132</v>
      </c>
      <c r="C23" s="77" t="s">
        <v>20</v>
      </c>
      <c r="D23" s="79">
        <v>0</v>
      </c>
      <c r="E23" s="79">
        <v>0</v>
      </c>
      <c r="F23" s="79">
        <v>0</v>
      </c>
      <c r="G23" s="79">
        <v>0</v>
      </c>
      <c r="H23" s="79">
        <v>50</v>
      </c>
      <c r="I23" s="79">
        <v>0</v>
      </c>
      <c r="J23" s="80">
        <v>0</v>
      </c>
      <c r="K23" s="81">
        <v>0</v>
      </c>
      <c r="L23" s="79">
        <v>50</v>
      </c>
      <c r="M23" s="79">
        <v>0</v>
      </c>
      <c r="N23" s="75">
        <f t="shared" si="0"/>
        <v>100</v>
      </c>
      <c r="O23" s="76">
        <f t="shared" si="1"/>
        <v>4000000</v>
      </c>
    </row>
    <row r="24" spans="1:15" ht="13.5" customHeight="1" x14ac:dyDescent="0.35">
      <c r="A24" s="29">
        <v>21</v>
      </c>
      <c r="B24" s="30">
        <v>46133</v>
      </c>
      <c r="C24" s="29" t="s">
        <v>21</v>
      </c>
      <c r="D24" s="32">
        <v>0</v>
      </c>
      <c r="E24" s="32">
        <v>0</v>
      </c>
      <c r="F24" s="32">
        <v>0</v>
      </c>
      <c r="G24" s="31">
        <v>0</v>
      </c>
      <c r="H24" s="32">
        <v>50</v>
      </c>
      <c r="I24" s="32">
        <v>0</v>
      </c>
      <c r="J24" s="32">
        <v>0</v>
      </c>
      <c r="K24" s="31">
        <v>0</v>
      </c>
      <c r="L24" s="32">
        <v>0</v>
      </c>
      <c r="M24" s="32">
        <v>40</v>
      </c>
      <c r="N24" s="75">
        <f t="shared" si="0"/>
        <v>90</v>
      </c>
      <c r="O24" s="76">
        <f t="shared" si="1"/>
        <v>3150000</v>
      </c>
    </row>
    <row r="25" spans="1:15" ht="13.5" customHeight="1" x14ac:dyDescent="0.35">
      <c r="A25" s="77">
        <v>22</v>
      </c>
      <c r="B25" s="78">
        <v>46134</v>
      </c>
      <c r="C25" s="77" t="s">
        <v>22</v>
      </c>
      <c r="D25" s="79">
        <v>0</v>
      </c>
      <c r="E25" s="79">
        <v>40</v>
      </c>
      <c r="F25" s="79">
        <v>0</v>
      </c>
      <c r="G25" s="79">
        <v>0</v>
      </c>
      <c r="H25" s="79">
        <v>0</v>
      </c>
      <c r="I25" s="79">
        <v>0</v>
      </c>
      <c r="J25" s="79">
        <v>0</v>
      </c>
      <c r="K25" s="81">
        <v>0</v>
      </c>
      <c r="L25" s="80">
        <v>0</v>
      </c>
      <c r="M25" s="79">
        <v>40</v>
      </c>
      <c r="N25" s="75">
        <f t="shared" si="0"/>
        <v>80</v>
      </c>
      <c r="O25" s="76">
        <f t="shared" si="1"/>
        <v>2920000</v>
      </c>
    </row>
    <row r="26" spans="1:15" ht="13.5" customHeight="1" x14ac:dyDescent="0.35">
      <c r="A26" s="29">
        <v>23</v>
      </c>
      <c r="B26" s="30">
        <v>46135</v>
      </c>
      <c r="C26" s="29" t="s">
        <v>16</v>
      </c>
      <c r="D26" s="31">
        <v>0</v>
      </c>
      <c r="E26" s="32">
        <v>40</v>
      </c>
      <c r="F26" s="32">
        <v>0</v>
      </c>
      <c r="G26" s="32">
        <v>0</v>
      </c>
      <c r="H26" s="32">
        <v>0</v>
      </c>
      <c r="I26" s="32">
        <v>40</v>
      </c>
      <c r="J26" s="32">
        <v>0</v>
      </c>
      <c r="K26" s="32">
        <v>0</v>
      </c>
      <c r="L26" s="31">
        <v>0</v>
      </c>
      <c r="M26" s="31">
        <v>50</v>
      </c>
      <c r="N26" s="75">
        <f t="shared" si="0"/>
        <v>130</v>
      </c>
      <c r="O26" s="76">
        <f t="shared" si="1"/>
        <v>4270000</v>
      </c>
    </row>
    <row r="27" spans="1:15" ht="13.5" customHeight="1" x14ac:dyDescent="0.35">
      <c r="A27" s="17">
        <v>24</v>
      </c>
      <c r="B27" s="18">
        <v>46136</v>
      </c>
      <c r="C27" s="17" t="s">
        <v>17</v>
      </c>
      <c r="D27" s="19">
        <v>0</v>
      </c>
      <c r="E27" s="19">
        <v>50</v>
      </c>
      <c r="F27" s="19">
        <v>0</v>
      </c>
      <c r="G27" s="19">
        <v>50</v>
      </c>
      <c r="H27" s="19">
        <v>0</v>
      </c>
      <c r="I27" s="19">
        <v>40</v>
      </c>
      <c r="J27" s="19">
        <v>0</v>
      </c>
      <c r="K27" s="19">
        <v>0</v>
      </c>
      <c r="L27" s="19">
        <v>0</v>
      </c>
      <c r="M27" s="19">
        <v>50</v>
      </c>
      <c r="N27" s="19">
        <f t="shared" si="0"/>
        <v>190</v>
      </c>
      <c r="O27" s="20">
        <f t="shared" si="1"/>
        <v>6900000</v>
      </c>
    </row>
    <row r="28" spans="1:15" ht="13.5" customHeight="1" x14ac:dyDescent="0.35">
      <c r="A28" s="21">
        <v>25</v>
      </c>
      <c r="B28" s="22">
        <v>46137</v>
      </c>
      <c r="C28" s="21" t="s">
        <v>18</v>
      </c>
      <c r="D28" s="23">
        <v>0</v>
      </c>
      <c r="E28" s="23">
        <v>50</v>
      </c>
      <c r="F28" s="23">
        <v>0</v>
      </c>
      <c r="G28" s="23">
        <v>50</v>
      </c>
      <c r="H28" s="23">
        <v>0</v>
      </c>
      <c r="I28" s="23">
        <v>40</v>
      </c>
      <c r="J28" s="23">
        <v>0</v>
      </c>
      <c r="K28" s="23">
        <v>40</v>
      </c>
      <c r="L28" s="23">
        <v>0</v>
      </c>
      <c r="M28" s="23">
        <v>0</v>
      </c>
      <c r="N28" s="23">
        <f t="shared" si="0"/>
        <v>180</v>
      </c>
      <c r="O28" s="24">
        <f t="shared" si="1"/>
        <v>7750000</v>
      </c>
    </row>
    <row r="29" spans="1:15" ht="13.5" customHeight="1" x14ac:dyDescent="0.35">
      <c r="A29" s="21">
        <v>26</v>
      </c>
      <c r="B29" s="22">
        <v>46138</v>
      </c>
      <c r="C29" s="21" t="s">
        <v>19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50</v>
      </c>
      <c r="J29" s="23">
        <v>0</v>
      </c>
      <c r="K29" s="23">
        <v>50</v>
      </c>
      <c r="L29" s="23">
        <v>0</v>
      </c>
      <c r="M29" s="23">
        <v>0</v>
      </c>
      <c r="N29" s="23">
        <f t="shared" si="0"/>
        <v>100</v>
      </c>
      <c r="O29" s="24">
        <f t="shared" si="1"/>
        <v>4500000</v>
      </c>
    </row>
    <row r="30" spans="1:15" ht="13.5" customHeight="1" x14ac:dyDescent="0.35">
      <c r="A30" s="25">
        <v>27</v>
      </c>
      <c r="B30" s="26">
        <v>46139</v>
      </c>
      <c r="C30" s="25" t="s">
        <v>20</v>
      </c>
      <c r="D30" s="27">
        <v>0</v>
      </c>
      <c r="E30" s="27">
        <v>0</v>
      </c>
      <c r="F30" s="27">
        <v>50</v>
      </c>
      <c r="G30" s="27">
        <v>0</v>
      </c>
      <c r="H30" s="27">
        <v>0</v>
      </c>
      <c r="I30" s="27">
        <v>0</v>
      </c>
      <c r="J30" s="27">
        <v>0</v>
      </c>
      <c r="K30" s="27">
        <v>50</v>
      </c>
      <c r="L30" s="27">
        <v>0</v>
      </c>
      <c r="M30" s="27">
        <v>0</v>
      </c>
      <c r="N30" s="27">
        <f t="shared" si="0"/>
        <v>100</v>
      </c>
      <c r="O30" s="28">
        <f t="shared" si="1"/>
        <v>3850000</v>
      </c>
    </row>
    <row r="31" spans="1:15" ht="13.5" customHeight="1" x14ac:dyDescent="0.35">
      <c r="A31" s="77">
        <v>28</v>
      </c>
      <c r="B31" s="78">
        <v>46140</v>
      </c>
      <c r="C31" s="77" t="s">
        <v>21</v>
      </c>
      <c r="D31" s="79">
        <v>50</v>
      </c>
      <c r="E31" s="79">
        <v>0</v>
      </c>
      <c r="F31" s="79">
        <v>60</v>
      </c>
      <c r="G31" s="81">
        <v>0</v>
      </c>
      <c r="H31" s="79">
        <v>0</v>
      </c>
      <c r="I31" s="79">
        <v>0</v>
      </c>
      <c r="J31" s="79">
        <v>0</v>
      </c>
      <c r="K31" s="79">
        <v>50</v>
      </c>
      <c r="L31" s="79">
        <v>0</v>
      </c>
      <c r="M31" s="79">
        <v>0</v>
      </c>
      <c r="N31" s="75">
        <f t="shared" si="0"/>
        <v>160</v>
      </c>
      <c r="O31" s="76">
        <f t="shared" si="1"/>
        <v>4870000</v>
      </c>
    </row>
    <row r="32" spans="1:15" ht="13.5" customHeight="1" x14ac:dyDescent="0.35">
      <c r="A32" s="29">
        <v>29</v>
      </c>
      <c r="B32" s="30">
        <v>46141</v>
      </c>
      <c r="C32" s="29" t="s">
        <v>22</v>
      </c>
      <c r="D32" s="32">
        <v>50</v>
      </c>
      <c r="E32" s="32">
        <v>0</v>
      </c>
      <c r="F32" s="32">
        <v>0</v>
      </c>
      <c r="G32" s="32">
        <v>0</v>
      </c>
      <c r="H32" s="32">
        <v>0</v>
      </c>
      <c r="I32" s="32">
        <v>0</v>
      </c>
      <c r="J32" s="32">
        <v>60</v>
      </c>
      <c r="K32" s="31">
        <v>0</v>
      </c>
      <c r="L32" s="32">
        <v>0</v>
      </c>
      <c r="M32" s="32">
        <v>0</v>
      </c>
      <c r="N32" s="75">
        <f t="shared" si="0"/>
        <v>110</v>
      </c>
      <c r="O32" s="76">
        <f t="shared" si="1"/>
        <v>3180000</v>
      </c>
    </row>
    <row r="33" spans="1:15" ht="13.5" customHeight="1" thickBot="1" x14ac:dyDescent="0.4">
      <c r="A33" s="77">
        <v>30</v>
      </c>
      <c r="B33" s="78">
        <v>46142</v>
      </c>
      <c r="C33" s="77" t="s">
        <v>16</v>
      </c>
      <c r="D33" s="79">
        <v>50</v>
      </c>
      <c r="E33" s="79">
        <v>0</v>
      </c>
      <c r="F33" s="79">
        <v>0</v>
      </c>
      <c r="G33" s="79">
        <v>0</v>
      </c>
      <c r="H33" s="79">
        <v>130</v>
      </c>
      <c r="I33" s="79">
        <v>0</v>
      </c>
      <c r="J33" s="81">
        <v>70</v>
      </c>
      <c r="K33" s="79">
        <v>0</v>
      </c>
      <c r="L33" s="79">
        <v>110</v>
      </c>
      <c r="M33" s="79">
        <v>0</v>
      </c>
      <c r="N33" s="75">
        <f t="shared" si="0"/>
        <v>360</v>
      </c>
      <c r="O33" s="76">
        <f t="shared" si="1"/>
        <v>13060000</v>
      </c>
    </row>
    <row r="34" spans="1:15" ht="18" customHeight="1" thickBot="1" x14ac:dyDescent="0.4">
      <c r="A34" s="120" t="s">
        <v>29</v>
      </c>
      <c r="B34" s="120"/>
      <c r="C34" s="120"/>
      <c r="D34" s="82">
        <f t="shared" ref="D34:O34" si="2">SUM(D4:D33)</f>
        <v>450</v>
      </c>
      <c r="E34" s="82">
        <f t="shared" si="2"/>
        <v>350</v>
      </c>
      <c r="F34" s="82">
        <f t="shared" si="2"/>
        <v>330</v>
      </c>
      <c r="G34" s="82">
        <f t="shared" si="2"/>
        <v>210</v>
      </c>
      <c r="H34" s="82">
        <f t="shared" si="2"/>
        <v>450</v>
      </c>
      <c r="I34" s="82">
        <f t="shared" si="2"/>
        <v>330</v>
      </c>
      <c r="J34" s="82">
        <f t="shared" si="2"/>
        <v>450</v>
      </c>
      <c r="K34" s="82">
        <f t="shared" si="2"/>
        <v>400</v>
      </c>
      <c r="L34" s="82">
        <f t="shared" si="2"/>
        <v>360</v>
      </c>
      <c r="M34" s="82">
        <f t="shared" si="2"/>
        <v>400</v>
      </c>
      <c r="N34" s="82">
        <f t="shared" si="2"/>
        <v>3730</v>
      </c>
      <c r="O34" s="83">
        <f t="shared" si="2"/>
        <v>132110000</v>
      </c>
    </row>
  </sheetData>
  <mergeCells count="3">
    <mergeCell ref="A1:O1"/>
    <mergeCell ref="A2:O2"/>
    <mergeCell ref="A34:C3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5"/>
  <sheetViews>
    <sheetView showGridLines="0" tabSelected="1" zoomScaleNormal="100" workbookViewId="0">
      <pane ySplit="3" topLeftCell="A4" activePane="bottomLeft" state="frozen"/>
      <selection pane="bottomLeft" activeCell="A2" sqref="A2:O2"/>
    </sheetView>
  </sheetViews>
  <sheetFormatPr defaultColWidth="8.6328125" defaultRowHeight="14.5" x14ac:dyDescent="0.35"/>
  <cols>
    <col min="1" max="1" width="4" style="1" customWidth="1"/>
    <col min="2" max="2" width="12" style="1" customWidth="1"/>
    <col min="3" max="3" width="9" style="1" customWidth="1"/>
    <col min="4" max="13" width="17" style="1" customWidth="1"/>
    <col min="14" max="14" width="10" style="1" customWidth="1"/>
    <col min="15" max="15" width="22" style="1" customWidth="1"/>
  </cols>
  <sheetData>
    <row r="1" spans="1:15" ht="27.75" customHeight="1" x14ac:dyDescent="0.35">
      <c r="A1" s="121" t="s">
        <v>30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 ht="15.75" customHeight="1" thickBot="1" x14ac:dyDescent="0.4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</row>
    <row r="3" spans="1:15" ht="37.5" customHeight="1" thickBot="1" x14ac:dyDescent="0.4">
      <c r="A3" s="84" t="s">
        <v>1</v>
      </c>
      <c r="B3" s="84" t="s">
        <v>2</v>
      </c>
      <c r="C3" s="84" t="s">
        <v>3</v>
      </c>
      <c r="D3" s="84" t="s">
        <v>4</v>
      </c>
      <c r="E3" s="84" t="s">
        <v>5</v>
      </c>
      <c r="F3" s="84" t="s">
        <v>6</v>
      </c>
      <c r="G3" s="84" t="s">
        <v>7</v>
      </c>
      <c r="H3" s="84" t="s">
        <v>8</v>
      </c>
      <c r="I3" s="84" t="s">
        <v>9</v>
      </c>
      <c r="J3" s="84" t="s">
        <v>10</v>
      </c>
      <c r="K3" s="84" t="s">
        <v>11</v>
      </c>
      <c r="L3" s="84" t="s">
        <v>12</v>
      </c>
      <c r="M3" s="84" t="s">
        <v>13</v>
      </c>
      <c r="N3" s="84" t="s">
        <v>14</v>
      </c>
      <c r="O3" s="84" t="s">
        <v>15</v>
      </c>
    </row>
    <row r="4" spans="1:15" ht="13.5" customHeight="1" x14ac:dyDescent="0.35">
      <c r="A4" s="3">
        <v>1</v>
      </c>
      <c r="B4" s="4">
        <v>46143</v>
      </c>
      <c r="C4" s="3" t="s">
        <v>17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40</v>
      </c>
      <c r="K4" s="5">
        <v>0</v>
      </c>
      <c r="L4" s="5">
        <v>0</v>
      </c>
      <c r="M4" s="5">
        <v>0</v>
      </c>
      <c r="N4" s="85">
        <f t="shared" ref="N4:N34" si="0">SUM(D4:M4)</f>
        <v>40</v>
      </c>
      <c r="O4" s="86">
        <f t="shared" ref="O4:O34" si="1">D4*18000+E4*38000+F4*12000+G4*45000+H4*35000+I4*25000+J4*38000+K4*65000+L4*45000+M4*35000</f>
        <v>1520000</v>
      </c>
    </row>
    <row r="5" spans="1:15" ht="13.5" customHeight="1" x14ac:dyDescent="0.35">
      <c r="A5" s="12">
        <v>2</v>
      </c>
      <c r="B5" s="13">
        <v>46144</v>
      </c>
      <c r="C5" s="14" t="s">
        <v>18</v>
      </c>
      <c r="D5" s="15">
        <v>40</v>
      </c>
      <c r="E5" s="15">
        <v>0</v>
      </c>
      <c r="F5" s="15">
        <v>0</v>
      </c>
      <c r="G5" s="16">
        <v>0</v>
      </c>
      <c r="H5" s="16">
        <v>0</v>
      </c>
      <c r="I5" s="15">
        <v>0</v>
      </c>
      <c r="J5" s="15">
        <v>50</v>
      </c>
      <c r="K5" s="15">
        <v>40</v>
      </c>
      <c r="L5" s="16">
        <v>0</v>
      </c>
      <c r="M5" s="16">
        <v>0</v>
      </c>
      <c r="N5" s="85">
        <f t="shared" si="0"/>
        <v>130</v>
      </c>
      <c r="O5" s="86">
        <f t="shared" si="1"/>
        <v>5220000</v>
      </c>
    </row>
    <row r="6" spans="1:15" ht="13.5" customHeight="1" x14ac:dyDescent="0.35">
      <c r="A6" s="12">
        <v>3</v>
      </c>
      <c r="B6" s="13">
        <v>46145</v>
      </c>
      <c r="C6" s="14" t="s">
        <v>19</v>
      </c>
      <c r="D6" s="15">
        <v>40</v>
      </c>
      <c r="E6" s="16">
        <v>0</v>
      </c>
      <c r="F6" s="15">
        <v>40</v>
      </c>
      <c r="G6" s="15">
        <v>0</v>
      </c>
      <c r="H6" s="15">
        <v>0</v>
      </c>
      <c r="I6" s="15">
        <v>40</v>
      </c>
      <c r="J6" s="15">
        <v>50</v>
      </c>
      <c r="K6" s="15">
        <v>40</v>
      </c>
      <c r="L6" s="15">
        <v>50</v>
      </c>
      <c r="M6" s="16">
        <v>0</v>
      </c>
      <c r="N6" s="85">
        <f t="shared" si="0"/>
        <v>260</v>
      </c>
      <c r="O6" s="86">
        <f t="shared" si="1"/>
        <v>8950000</v>
      </c>
    </row>
    <row r="7" spans="1:15" ht="13.5" customHeight="1" x14ac:dyDescent="0.35">
      <c r="A7" s="87">
        <v>4</v>
      </c>
      <c r="B7" s="88">
        <v>46146</v>
      </c>
      <c r="C7" s="87" t="s">
        <v>20</v>
      </c>
      <c r="D7" s="89">
        <v>40</v>
      </c>
      <c r="E7" s="110">
        <v>50</v>
      </c>
      <c r="F7" s="91">
        <v>50</v>
      </c>
      <c r="G7" s="91">
        <v>0</v>
      </c>
      <c r="H7" s="91">
        <v>0</v>
      </c>
      <c r="I7" s="91">
        <v>40</v>
      </c>
      <c r="J7" s="91">
        <v>50</v>
      </c>
      <c r="K7" s="89">
        <v>40</v>
      </c>
      <c r="L7" s="91">
        <v>50</v>
      </c>
      <c r="M7" s="91">
        <v>0</v>
      </c>
      <c r="N7" s="85">
        <f t="shared" si="0"/>
        <v>320</v>
      </c>
      <c r="O7" s="86">
        <f t="shared" si="1"/>
        <v>10970000</v>
      </c>
    </row>
    <row r="8" spans="1:15" ht="13.5" customHeight="1" x14ac:dyDescent="0.35">
      <c r="A8" s="29">
        <v>5</v>
      </c>
      <c r="B8" s="30">
        <v>46147</v>
      </c>
      <c r="C8" s="29" t="s">
        <v>21</v>
      </c>
      <c r="D8" s="32">
        <v>40</v>
      </c>
      <c r="E8" s="32">
        <v>50</v>
      </c>
      <c r="F8" s="31">
        <v>50</v>
      </c>
      <c r="G8" s="31">
        <v>0</v>
      </c>
      <c r="H8" s="32">
        <v>40</v>
      </c>
      <c r="I8" s="32">
        <v>50</v>
      </c>
      <c r="J8" s="31">
        <v>0</v>
      </c>
      <c r="K8" s="31">
        <v>40</v>
      </c>
      <c r="L8" s="31">
        <v>50</v>
      </c>
      <c r="M8" s="31">
        <v>0</v>
      </c>
      <c r="N8" s="85">
        <f t="shared" si="0"/>
        <v>320</v>
      </c>
      <c r="O8" s="86">
        <f t="shared" si="1"/>
        <v>10720000</v>
      </c>
    </row>
    <row r="9" spans="1:15" ht="13.5" customHeight="1" x14ac:dyDescent="0.35">
      <c r="A9" s="87">
        <v>6</v>
      </c>
      <c r="B9" s="88">
        <v>46148</v>
      </c>
      <c r="C9" s="87" t="s">
        <v>22</v>
      </c>
      <c r="D9" s="89">
        <v>0</v>
      </c>
      <c r="E9" s="89">
        <v>50</v>
      </c>
      <c r="F9" s="91">
        <v>0</v>
      </c>
      <c r="G9" s="89">
        <v>40</v>
      </c>
      <c r="H9" s="110">
        <v>50</v>
      </c>
      <c r="I9" s="91">
        <v>50</v>
      </c>
      <c r="J9" s="89">
        <v>0</v>
      </c>
      <c r="K9" s="89">
        <v>0</v>
      </c>
      <c r="L9" s="110">
        <v>50</v>
      </c>
      <c r="M9" s="89">
        <v>0</v>
      </c>
      <c r="N9" s="85">
        <f t="shared" si="0"/>
        <v>240</v>
      </c>
      <c r="O9" s="86">
        <f t="shared" si="1"/>
        <v>8950000</v>
      </c>
    </row>
    <row r="10" spans="1:15" ht="13.5" customHeight="1" x14ac:dyDescent="0.35">
      <c r="A10" s="29">
        <v>7</v>
      </c>
      <c r="B10" s="30">
        <v>46149</v>
      </c>
      <c r="C10" s="29" t="s">
        <v>16</v>
      </c>
      <c r="D10" s="32">
        <v>0</v>
      </c>
      <c r="E10" s="32">
        <v>50</v>
      </c>
      <c r="F10" s="31">
        <v>0</v>
      </c>
      <c r="G10" s="32">
        <v>40</v>
      </c>
      <c r="H10" s="31">
        <v>50</v>
      </c>
      <c r="I10" s="31">
        <v>0</v>
      </c>
      <c r="J10" s="31">
        <v>0</v>
      </c>
      <c r="K10" s="32">
        <v>0</v>
      </c>
      <c r="L10" s="31">
        <v>50</v>
      </c>
      <c r="M10" s="31">
        <v>0</v>
      </c>
      <c r="N10" s="85">
        <f t="shared" si="0"/>
        <v>190</v>
      </c>
      <c r="O10" s="86">
        <f t="shared" si="1"/>
        <v>7700000</v>
      </c>
    </row>
    <row r="11" spans="1:15" ht="13.5" customHeight="1" x14ac:dyDescent="0.35">
      <c r="A11" s="87">
        <v>8</v>
      </c>
      <c r="B11" s="88">
        <v>46150</v>
      </c>
      <c r="C11" s="87" t="s">
        <v>17</v>
      </c>
      <c r="D11" s="89">
        <v>30</v>
      </c>
      <c r="E11" s="89">
        <v>0</v>
      </c>
      <c r="F11" s="91">
        <v>0</v>
      </c>
      <c r="G11" s="89">
        <v>50</v>
      </c>
      <c r="H11" s="89">
        <v>50</v>
      </c>
      <c r="I11" s="89">
        <v>0</v>
      </c>
      <c r="J11" s="89">
        <v>0</v>
      </c>
      <c r="K11" s="89">
        <v>50</v>
      </c>
      <c r="L11" s="91">
        <v>50</v>
      </c>
      <c r="M11" s="91">
        <v>40</v>
      </c>
      <c r="N11" s="85">
        <f t="shared" si="0"/>
        <v>270</v>
      </c>
      <c r="O11" s="86">
        <f t="shared" si="1"/>
        <v>11440000</v>
      </c>
    </row>
    <row r="12" spans="1:15" ht="13.5" customHeight="1" x14ac:dyDescent="0.35">
      <c r="A12" s="12">
        <v>9</v>
      </c>
      <c r="B12" s="13">
        <v>46151</v>
      </c>
      <c r="C12" s="14" t="s">
        <v>18</v>
      </c>
      <c r="D12" s="15">
        <v>30</v>
      </c>
      <c r="E12" s="15">
        <v>0</v>
      </c>
      <c r="F12" s="15">
        <v>0</v>
      </c>
      <c r="G12" s="15">
        <v>0</v>
      </c>
      <c r="H12" s="35">
        <v>0</v>
      </c>
      <c r="I12" s="15">
        <v>0</v>
      </c>
      <c r="J12" s="16">
        <v>0</v>
      </c>
      <c r="K12" s="16">
        <v>50</v>
      </c>
      <c r="L12" s="16">
        <v>0</v>
      </c>
      <c r="M12" s="15">
        <v>40</v>
      </c>
      <c r="N12" s="85">
        <f t="shared" si="0"/>
        <v>120</v>
      </c>
      <c r="O12" s="86">
        <f t="shared" si="1"/>
        <v>5190000</v>
      </c>
    </row>
    <row r="13" spans="1:15" ht="13.5" customHeight="1" x14ac:dyDescent="0.35">
      <c r="A13" s="12">
        <v>10</v>
      </c>
      <c r="B13" s="13">
        <v>46152</v>
      </c>
      <c r="C13" s="14" t="s">
        <v>19</v>
      </c>
      <c r="D13" s="15">
        <v>40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6">
        <v>0</v>
      </c>
      <c r="M13" s="16">
        <v>40</v>
      </c>
      <c r="N13" s="85">
        <f t="shared" si="0"/>
        <v>80</v>
      </c>
      <c r="O13" s="86">
        <f t="shared" si="1"/>
        <v>2120000</v>
      </c>
    </row>
    <row r="14" spans="1:15" ht="13.5" customHeight="1" x14ac:dyDescent="0.35">
      <c r="A14" s="29">
        <v>11</v>
      </c>
      <c r="B14" s="30">
        <v>46153</v>
      </c>
      <c r="C14" s="29" t="s">
        <v>20</v>
      </c>
      <c r="D14" s="31">
        <v>40</v>
      </c>
      <c r="E14" s="31">
        <v>0</v>
      </c>
      <c r="F14" s="32">
        <v>0</v>
      </c>
      <c r="G14" s="31">
        <v>0</v>
      </c>
      <c r="H14" s="32">
        <v>0</v>
      </c>
      <c r="I14" s="32">
        <v>40</v>
      </c>
      <c r="J14" s="32">
        <v>40</v>
      </c>
      <c r="K14" s="31">
        <v>0</v>
      </c>
      <c r="L14" s="32">
        <v>0</v>
      </c>
      <c r="M14" s="32">
        <v>40</v>
      </c>
      <c r="N14" s="85">
        <f t="shared" si="0"/>
        <v>160</v>
      </c>
      <c r="O14" s="86">
        <f t="shared" si="1"/>
        <v>4640000</v>
      </c>
    </row>
    <row r="15" spans="1:15" ht="13.5" customHeight="1" x14ac:dyDescent="0.35">
      <c r="A15" s="3">
        <v>12</v>
      </c>
      <c r="B15" s="4">
        <v>46154</v>
      </c>
      <c r="C15" s="3" t="s">
        <v>21</v>
      </c>
      <c r="D15" s="5">
        <v>0</v>
      </c>
      <c r="E15" s="5">
        <v>0</v>
      </c>
      <c r="F15" s="5">
        <v>40</v>
      </c>
      <c r="G15" s="5">
        <v>0</v>
      </c>
      <c r="H15" s="5">
        <v>0</v>
      </c>
      <c r="I15" s="5">
        <v>40</v>
      </c>
      <c r="J15" s="5">
        <v>40</v>
      </c>
      <c r="K15" s="5">
        <v>0</v>
      </c>
      <c r="L15" s="5">
        <v>0</v>
      </c>
      <c r="M15" s="5">
        <v>40</v>
      </c>
      <c r="N15" s="85">
        <f t="shared" si="0"/>
        <v>160</v>
      </c>
      <c r="O15" s="86">
        <f t="shared" si="1"/>
        <v>4400000</v>
      </c>
    </row>
    <row r="16" spans="1:15" ht="13.5" customHeight="1" x14ac:dyDescent="0.35">
      <c r="A16" s="29">
        <v>13</v>
      </c>
      <c r="B16" s="30">
        <v>46155</v>
      </c>
      <c r="C16" s="29" t="s">
        <v>22</v>
      </c>
      <c r="D16" s="33">
        <v>0</v>
      </c>
      <c r="E16" s="32">
        <v>0</v>
      </c>
      <c r="F16" s="31">
        <v>40</v>
      </c>
      <c r="G16" s="31">
        <v>0</v>
      </c>
      <c r="H16" s="32">
        <v>0</v>
      </c>
      <c r="I16" s="31">
        <v>50</v>
      </c>
      <c r="J16" s="31">
        <v>50</v>
      </c>
      <c r="K16" s="31">
        <v>0</v>
      </c>
      <c r="L16" s="32">
        <v>0</v>
      </c>
      <c r="M16" s="32">
        <v>50</v>
      </c>
      <c r="N16" s="85">
        <f t="shared" si="0"/>
        <v>190</v>
      </c>
      <c r="O16" s="86">
        <f t="shared" si="1"/>
        <v>5380000</v>
      </c>
    </row>
    <row r="17" spans="1:15" ht="13.5" customHeight="1" x14ac:dyDescent="0.35">
      <c r="A17" s="87">
        <v>14</v>
      </c>
      <c r="B17" s="88">
        <v>46156</v>
      </c>
      <c r="C17" s="87" t="s">
        <v>16</v>
      </c>
      <c r="D17" s="89">
        <v>30</v>
      </c>
      <c r="E17" s="89">
        <v>0</v>
      </c>
      <c r="F17" s="91">
        <v>50</v>
      </c>
      <c r="G17" s="91">
        <v>0</v>
      </c>
      <c r="H17" s="89">
        <v>0</v>
      </c>
      <c r="I17" s="89">
        <v>50</v>
      </c>
      <c r="J17" s="110">
        <v>50</v>
      </c>
      <c r="K17" s="89">
        <v>40</v>
      </c>
      <c r="L17" s="89">
        <v>0</v>
      </c>
      <c r="M17" s="89">
        <v>0</v>
      </c>
      <c r="N17" s="85">
        <f t="shared" si="0"/>
        <v>220</v>
      </c>
      <c r="O17" s="86">
        <f t="shared" si="1"/>
        <v>6890000</v>
      </c>
    </row>
    <row r="18" spans="1:15" ht="13.5" customHeight="1" x14ac:dyDescent="0.35">
      <c r="A18" s="29">
        <v>15</v>
      </c>
      <c r="B18" s="30">
        <v>46157</v>
      </c>
      <c r="C18" s="29" t="s">
        <v>17</v>
      </c>
      <c r="D18" s="31">
        <v>30</v>
      </c>
      <c r="E18" s="32">
        <v>0</v>
      </c>
      <c r="F18" s="31">
        <v>0</v>
      </c>
      <c r="G18" s="31">
        <v>0</v>
      </c>
      <c r="H18" s="31">
        <v>0</v>
      </c>
      <c r="I18" s="32">
        <v>0</v>
      </c>
      <c r="J18" s="32">
        <v>0</v>
      </c>
      <c r="K18" s="31">
        <v>40</v>
      </c>
      <c r="L18" s="31">
        <v>0</v>
      </c>
      <c r="M18" s="31">
        <v>0</v>
      </c>
      <c r="N18" s="85">
        <f t="shared" si="0"/>
        <v>70</v>
      </c>
      <c r="O18" s="86">
        <f t="shared" si="1"/>
        <v>3140000</v>
      </c>
    </row>
    <row r="19" spans="1:15" ht="13.5" customHeight="1" x14ac:dyDescent="0.35">
      <c r="A19" s="12">
        <v>16</v>
      </c>
      <c r="B19" s="13">
        <v>46158</v>
      </c>
      <c r="C19" s="14" t="s">
        <v>18</v>
      </c>
      <c r="D19" s="35">
        <v>30</v>
      </c>
      <c r="E19" s="15">
        <v>0</v>
      </c>
      <c r="F19" s="16">
        <v>0</v>
      </c>
      <c r="G19" s="15">
        <v>0</v>
      </c>
      <c r="H19" s="15">
        <v>0</v>
      </c>
      <c r="I19" s="16">
        <v>0</v>
      </c>
      <c r="J19" s="15">
        <v>0</v>
      </c>
      <c r="K19" s="15">
        <v>40</v>
      </c>
      <c r="L19" s="15">
        <v>0</v>
      </c>
      <c r="M19" s="16">
        <v>0</v>
      </c>
      <c r="N19" s="85">
        <f t="shared" si="0"/>
        <v>70</v>
      </c>
      <c r="O19" s="86">
        <f t="shared" si="1"/>
        <v>3140000</v>
      </c>
    </row>
    <row r="20" spans="1:15" ht="13.5" customHeight="1" x14ac:dyDescent="0.35">
      <c r="A20" s="12">
        <v>17</v>
      </c>
      <c r="B20" s="13">
        <v>46159</v>
      </c>
      <c r="C20" s="14" t="s">
        <v>19</v>
      </c>
      <c r="D20" s="15">
        <v>40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6">
        <v>40</v>
      </c>
      <c r="L20" s="16">
        <v>0</v>
      </c>
      <c r="M20" s="16">
        <v>0</v>
      </c>
      <c r="N20" s="85">
        <f t="shared" si="0"/>
        <v>80</v>
      </c>
      <c r="O20" s="86">
        <f t="shared" si="1"/>
        <v>3320000</v>
      </c>
    </row>
    <row r="21" spans="1:15" ht="13.5" customHeight="1" x14ac:dyDescent="0.35">
      <c r="A21" s="87">
        <v>18</v>
      </c>
      <c r="B21" s="88">
        <v>46160</v>
      </c>
      <c r="C21" s="87" t="s">
        <v>20</v>
      </c>
      <c r="D21" s="89">
        <v>40</v>
      </c>
      <c r="E21" s="91">
        <v>0</v>
      </c>
      <c r="F21" s="91">
        <v>0</v>
      </c>
      <c r="G21" s="91">
        <v>0</v>
      </c>
      <c r="H21" s="91">
        <v>40</v>
      </c>
      <c r="I21" s="91">
        <v>0</v>
      </c>
      <c r="J21" s="91">
        <v>0</v>
      </c>
      <c r="K21" s="89">
        <v>40</v>
      </c>
      <c r="L21" s="91">
        <v>0</v>
      </c>
      <c r="M21" s="91">
        <v>0</v>
      </c>
      <c r="N21" s="85">
        <f t="shared" si="0"/>
        <v>120</v>
      </c>
      <c r="O21" s="86">
        <f t="shared" si="1"/>
        <v>4720000</v>
      </c>
    </row>
    <row r="22" spans="1:15" ht="13.5" customHeight="1" x14ac:dyDescent="0.35">
      <c r="A22" s="29">
        <v>19</v>
      </c>
      <c r="B22" s="30">
        <v>46161</v>
      </c>
      <c r="C22" s="29" t="s">
        <v>21</v>
      </c>
      <c r="D22" s="32">
        <v>0</v>
      </c>
      <c r="E22" s="32">
        <v>0</v>
      </c>
      <c r="F22" s="33">
        <v>0</v>
      </c>
      <c r="G22" s="32">
        <v>0</v>
      </c>
      <c r="H22" s="103">
        <v>40</v>
      </c>
      <c r="I22" s="31">
        <v>0</v>
      </c>
      <c r="J22" s="32">
        <v>0</v>
      </c>
      <c r="K22" s="31">
        <v>50</v>
      </c>
      <c r="L22" s="31">
        <v>0</v>
      </c>
      <c r="M22" s="32">
        <v>80</v>
      </c>
      <c r="N22" s="85">
        <f t="shared" si="0"/>
        <v>170</v>
      </c>
      <c r="O22" s="86">
        <f t="shared" si="1"/>
        <v>7450000</v>
      </c>
    </row>
    <row r="23" spans="1:15" ht="13.5" customHeight="1" x14ac:dyDescent="0.35">
      <c r="A23" s="87">
        <v>20</v>
      </c>
      <c r="B23" s="88">
        <v>46162</v>
      </c>
      <c r="C23" s="87" t="s">
        <v>22</v>
      </c>
      <c r="D23" s="91">
        <v>60</v>
      </c>
      <c r="E23" s="89">
        <v>0</v>
      </c>
      <c r="F23" s="90">
        <v>0</v>
      </c>
      <c r="G23" s="91">
        <v>0</v>
      </c>
      <c r="H23" s="91">
        <v>40</v>
      </c>
      <c r="I23" s="89">
        <v>50</v>
      </c>
      <c r="J23" s="89">
        <v>0</v>
      </c>
      <c r="K23" s="110">
        <v>60</v>
      </c>
      <c r="L23" s="89">
        <v>70</v>
      </c>
      <c r="M23" s="91">
        <v>80</v>
      </c>
      <c r="N23" s="85">
        <f t="shared" si="0"/>
        <v>360</v>
      </c>
      <c r="O23" s="86">
        <f t="shared" si="1"/>
        <v>13580000</v>
      </c>
    </row>
    <row r="24" spans="1:15" ht="13.5" customHeight="1" x14ac:dyDescent="0.35">
      <c r="A24" s="3">
        <v>21</v>
      </c>
      <c r="B24" s="4">
        <v>46163</v>
      </c>
      <c r="C24" s="3" t="s">
        <v>16</v>
      </c>
      <c r="D24" s="5">
        <v>60</v>
      </c>
      <c r="E24" s="5">
        <v>70</v>
      </c>
      <c r="F24" s="5">
        <v>80</v>
      </c>
      <c r="G24" s="5">
        <v>0</v>
      </c>
      <c r="H24" s="5">
        <v>50</v>
      </c>
      <c r="I24" s="5">
        <v>50</v>
      </c>
      <c r="J24" s="5">
        <v>60</v>
      </c>
      <c r="K24" s="5">
        <v>60</v>
      </c>
      <c r="L24" s="5">
        <v>70</v>
      </c>
      <c r="M24" s="5">
        <v>80</v>
      </c>
      <c r="N24" s="85">
        <f t="shared" si="0"/>
        <v>580</v>
      </c>
      <c r="O24" s="86">
        <f t="shared" si="1"/>
        <v>19830000</v>
      </c>
    </row>
    <row r="25" spans="1:15" ht="13.5" customHeight="1" x14ac:dyDescent="0.35">
      <c r="A25" s="87">
        <v>22</v>
      </c>
      <c r="B25" s="88">
        <v>46164</v>
      </c>
      <c r="C25" s="87" t="s">
        <v>17</v>
      </c>
      <c r="D25" s="91">
        <v>60</v>
      </c>
      <c r="E25" s="110">
        <v>70</v>
      </c>
      <c r="F25" s="89">
        <v>80</v>
      </c>
      <c r="G25" s="89">
        <v>0</v>
      </c>
      <c r="H25" s="89">
        <v>50</v>
      </c>
      <c r="I25" s="89">
        <v>50</v>
      </c>
      <c r="J25" s="91">
        <v>60</v>
      </c>
      <c r="K25" s="89">
        <v>60</v>
      </c>
      <c r="L25" s="89">
        <v>80</v>
      </c>
      <c r="M25" s="91">
        <v>80</v>
      </c>
      <c r="N25" s="85">
        <f t="shared" si="0"/>
        <v>590</v>
      </c>
      <c r="O25" s="86">
        <f t="shared" si="1"/>
        <v>20280000</v>
      </c>
    </row>
    <row r="26" spans="1:15" ht="13.5" customHeight="1" x14ac:dyDescent="0.35">
      <c r="A26" s="56">
        <v>23</v>
      </c>
      <c r="B26" s="57">
        <v>46165</v>
      </c>
      <c r="C26" s="92" t="s">
        <v>18</v>
      </c>
      <c r="D26" s="59">
        <v>70</v>
      </c>
      <c r="E26" s="58">
        <v>80</v>
      </c>
      <c r="F26" s="111">
        <v>90</v>
      </c>
      <c r="G26" s="58">
        <v>0</v>
      </c>
      <c r="H26" s="58">
        <v>50</v>
      </c>
      <c r="I26" s="58">
        <v>50</v>
      </c>
      <c r="J26" s="58">
        <v>60</v>
      </c>
      <c r="K26" s="58">
        <v>70</v>
      </c>
      <c r="L26" s="58">
        <v>80</v>
      </c>
      <c r="M26" s="58">
        <v>80</v>
      </c>
      <c r="N26" s="93">
        <f t="shared" si="0"/>
        <v>630</v>
      </c>
      <c r="O26" s="61">
        <f t="shared" si="1"/>
        <v>21610000</v>
      </c>
    </row>
    <row r="27" spans="1:15" ht="13.5" customHeight="1" x14ac:dyDescent="0.35">
      <c r="A27" s="94">
        <v>24</v>
      </c>
      <c r="B27" s="95">
        <v>46166</v>
      </c>
      <c r="C27" s="96" t="s">
        <v>19</v>
      </c>
      <c r="D27" s="97">
        <v>0</v>
      </c>
      <c r="E27" s="97">
        <v>0</v>
      </c>
      <c r="F27" s="98">
        <v>0</v>
      </c>
      <c r="G27" s="97">
        <v>0</v>
      </c>
      <c r="H27" s="97">
        <v>0</v>
      </c>
      <c r="I27" s="97">
        <v>0</v>
      </c>
      <c r="J27" s="97">
        <v>0</v>
      </c>
      <c r="K27" s="98">
        <v>0</v>
      </c>
      <c r="L27" s="97">
        <v>0</v>
      </c>
      <c r="M27" s="97">
        <v>0</v>
      </c>
      <c r="N27" s="99">
        <f t="shared" si="0"/>
        <v>0</v>
      </c>
      <c r="O27" s="100">
        <f t="shared" si="1"/>
        <v>0</v>
      </c>
    </row>
    <row r="28" spans="1:15" ht="13.5" customHeight="1" x14ac:dyDescent="0.35">
      <c r="A28" s="62">
        <v>25</v>
      </c>
      <c r="B28" s="63">
        <v>46167</v>
      </c>
      <c r="C28" s="62" t="s">
        <v>20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f t="shared" si="0"/>
        <v>0</v>
      </c>
      <c r="O28" s="65">
        <f t="shared" si="1"/>
        <v>0</v>
      </c>
    </row>
    <row r="29" spans="1:15" ht="13.5" customHeight="1" x14ac:dyDescent="0.35">
      <c r="A29" s="66">
        <v>26</v>
      </c>
      <c r="B29" s="67">
        <v>46168</v>
      </c>
      <c r="C29" s="66" t="s">
        <v>21</v>
      </c>
      <c r="D29" s="68">
        <v>0</v>
      </c>
      <c r="E29" s="68">
        <v>0</v>
      </c>
      <c r="F29" s="68">
        <v>0</v>
      </c>
      <c r="G29" s="68">
        <v>0</v>
      </c>
      <c r="H29" s="68">
        <v>0</v>
      </c>
      <c r="I29" s="68">
        <v>0</v>
      </c>
      <c r="J29" s="68">
        <v>0</v>
      </c>
      <c r="K29" s="68">
        <v>0</v>
      </c>
      <c r="L29" s="68">
        <v>0</v>
      </c>
      <c r="M29" s="68">
        <v>0</v>
      </c>
      <c r="N29" s="68">
        <f t="shared" si="0"/>
        <v>0</v>
      </c>
      <c r="O29" s="69">
        <f t="shared" si="1"/>
        <v>0</v>
      </c>
    </row>
    <row r="30" spans="1:15" ht="13.5" customHeight="1" x14ac:dyDescent="0.35">
      <c r="A30" s="70">
        <v>27</v>
      </c>
      <c r="B30" s="71">
        <v>46169</v>
      </c>
      <c r="C30" s="70" t="s">
        <v>22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72">
        <v>0</v>
      </c>
      <c r="M30" s="72">
        <v>0</v>
      </c>
      <c r="N30" s="72">
        <f t="shared" si="0"/>
        <v>0</v>
      </c>
      <c r="O30" s="73">
        <f t="shared" si="1"/>
        <v>0</v>
      </c>
    </row>
    <row r="31" spans="1:15" ht="13.5" customHeight="1" x14ac:dyDescent="0.35">
      <c r="A31" s="87">
        <v>28</v>
      </c>
      <c r="B31" s="88">
        <v>46170</v>
      </c>
      <c r="C31" s="87" t="s">
        <v>16</v>
      </c>
      <c r="D31" s="91">
        <v>0</v>
      </c>
      <c r="E31" s="89">
        <v>0</v>
      </c>
      <c r="F31" s="91">
        <v>0</v>
      </c>
      <c r="G31" s="89">
        <v>0</v>
      </c>
      <c r="H31" s="91">
        <v>0</v>
      </c>
      <c r="I31" s="91">
        <v>0</v>
      </c>
      <c r="J31" s="89">
        <v>0</v>
      </c>
      <c r="K31" s="89">
        <v>0</v>
      </c>
      <c r="L31" s="89">
        <v>0</v>
      </c>
      <c r="M31" s="91">
        <v>0</v>
      </c>
      <c r="N31" s="85">
        <f t="shared" si="0"/>
        <v>0</v>
      </c>
      <c r="O31" s="86">
        <f t="shared" si="1"/>
        <v>0</v>
      </c>
    </row>
    <row r="32" spans="1:15" ht="13.5" customHeight="1" x14ac:dyDescent="0.35">
      <c r="A32" s="29">
        <v>29</v>
      </c>
      <c r="B32" s="30">
        <v>46171</v>
      </c>
      <c r="C32" s="29" t="s">
        <v>17</v>
      </c>
      <c r="D32" s="31">
        <v>0</v>
      </c>
      <c r="E32" s="31">
        <v>0</v>
      </c>
      <c r="F32" s="31">
        <v>0</v>
      </c>
      <c r="G32" s="32">
        <v>50</v>
      </c>
      <c r="H32" s="31">
        <v>0</v>
      </c>
      <c r="I32" s="31">
        <v>0</v>
      </c>
      <c r="J32" s="32">
        <v>0</v>
      </c>
      <c r="K32" s="32">
        <v>0</v>
      </c>
      <c r="L32" s="33">
        <v>0</v>
      </c>
      <c r="M32" s="31">
        <v>0</v>
      </c>
      <c r="N32" s="85">
        <f t="shared" si="0"/>
        <v>50</v>
      </c>
      <c r="O32" s="86">
        <f t="shared" si="1"/>
        <v>2250000</v>
      </c>
    </row>
    <row r="33" spans="1:15" ht="13.5" customHeight="1" x14ac:dyDescent="0.35">
      <c r="A33" s="12">
        <v>30</v>
      </c>
      <c r="B33" s="13">
        <v>46172</v>
      </c>
      <c r="C33" s="14" t="s">
        <v>18</v>
      </c>
      <c r="D33" s="15">
        <v>0</v>
      </c>
      <c r="E33" s="15">
        <v>0</v>
      </c>
      <c r="F33" s="15">
        <v>0</v>
      </c>
      <c r="G33" s="15">
        <v>50</v>
      </c>
      <c r="H33" s="16">
        <v>90</v>
      </c>
      <c r="I33" s="16">
        <v>0</v>
      </c>
      <c r="J33" s="15">
        <v>0</v>
      </c>
      <c r="K33" s="15">
        <v>0</v>
      </c>
      <c r="L33" s="15">
        <v>0</v>
      </c>
      <c r="M33" s="15">
        <v>0</v>
      </c>
      <c r="N33" s="85">
        <f t="shared" si="0"/>
        <v>140</v>
      </c>
      <c r="O33" s="86">
        <f t="shared" si="1"/>
        <v>5400000</v>
      </c>
    </row>
    <row r="34" spans="1:15" ht="13.5" customHeight="1" thickBot="1" x14ac:dyDescent="0.4">
      <c r="A34" s="12">
        <v>31</v>
      </c>
      <c r="B34" s="13">
        <v>46173</v>
      </c>
      <c r="C34" s="14" t="s">
        <v>19</v>
      </c>
      <c r="D34" s="15">
        <v>0</v>
      </c>
      <c r="E34" s="15">
        <v>0</v>
      </c>
      <c r="F34" s="15">
        <v>0</v>
      </c>
      <c r="G34" s="16">
        <v>50</v>
      </c>
      <c r="H34" s="15">
        <v>100</v>
      </c>
      <c r="I34" s="15">
        <v>0</v>
      </c>
      <c r="J34" s="15">
        <v>0</v>
      </c>
      <c r="K34" s="15">
        <v>0</v>
      </c>
      <c r="L34" s="15">
        <v>150</v>
      </c>
      <c r="M34" s="15">
        <v>260</v>
      </c>
      <c r="N34" s="85">
        <f t="shared" si="0"/>
        <v>560</v>
      </c>
      <c r="O34" s="86">
        <f t="shared" si="1"/>
        <v>21600000</v>
      </c>
    </row>
    <row r="35" spans="1:15" ht="18" customHeight="1" thickBot="1" x14ac:dyDescent="0.4">
      <c r="A35" s="123" t="s">
        <v>31</v>
      </c>
      <c r="B35" s="123"/>
      <c r="C35" s="123"/>
      <c r="D35" s="101">
        <f t="shared" ref="D35:O35" si="2">SUM(D4:D34)</f>
        <v>720</v>
      </c>
      <c r="E35" s="101">
        <f t="shared" si="2"/>
        <v>420</v>
      </c>
      <c r="F35" s="101">
        <f t="shared" si="2"/>
        <v>520</v>
      </c>
      <c r="G35" s="101">
        <f t="shared" si="2"/>
        <v>280</v>
      </c>
      <c r="H35" s="101">
        <f t="shared" si="2"/>
        <v>650</v>
      </c>
      <c r="I35" s="101">
        <f t="shared" si="2"/>
        <v>560</v>
      </c>
      <c r="J35" s="101">
        <f t="shared" si="2"/>
        <v>550</v>
      </c>
      <c r="K35" s="101">
        <f t="shared" si="2"/>
        <v>760</v>
      </c>
      <c r="L35" s="101">
        <f t="shared" si="2"/>
        <v>750</v>
      </c>
      <c r="M35" s="101">
        <f t="shared" si="2"/>
        <v>910</v>
      </c>
      <c r="N35" s="101">
        <f t="shared" si="2"/>
        <v>6120</v>
      </c>
      <c r="O35" s="102">
        <f t="shared" si="2"/>
        <v>220410000</v>
      </c>
    </row>
  </sheetData>
  <mergeCells count="3">
    <mergeCell ref="A1:O1"/>
    <mergeCell ref="A2:O2"/>
    <mergeCell ref="A35:C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Januari</vt:lpstr>
      <vt:lpstr>Februari</vt:lpstr>
      <vt:lpstr>Maret</vt:lpstr>
      <vt:lpstr>April</vt:lpstr>
      <vt:lpstr>Mei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Fitria Pratiwi</cp:lastModifiedBy>
  <cp:revision>0</cp:revision>
  <dcterms:created xsi:type="dcterms:W3CDTF">2026-06-28T15:56:31Z</dcterms:created>
  <dcterms:modified xsi:type="dcterms:W3CDTF">2026-07-08T04:28:45Z</dcterms:modified>
  <dc:language>en-US</dc:language>
</cp:coreProperties>
</file>