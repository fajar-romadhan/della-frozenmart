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c3cbb32916e841ed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Ringkasan" sheetId="1" r:id="R7ff01850ad254cd5"/>
    <x:sheet xmlns:r="http://schemas.openxmlformats.org/officeDocument/2006/relationships" name="Daftar Produk &amp; Harga" sheetId="2" r:id="R58681f2155dd45fd"/>
    <x:sheet xmlns:r="http://schemas.openxmlformats.org/officeDocument/2006/relationships" name="Metodologi &amp; Disclaimer" sheetId="3" r:id="R13d5680a5678406a"/>
    <x:sheet xmlns:r="http://schemas.openxmlformats.org/officeDocument/2006/relationships" name="Januari" sheetId="4" r:id="R08919835253c4b7c"/>
    <x:sheet xmlns:r="http://schemas.openxmlformats.org/officeDocument/2006/relationships" name="Februari" sheetId="5" r:id="R8ee6772cce0e42d9"/>
    <x:sheet xmlns:r="http://schemas.openxmlformats.org/officeDocument/2006/relationships" name="Maret" sheetId="6" r:id="R6c66083857434a9b"/>
    <x:sheet xmlns:r="http://schemas.openxmlformats.org/officeDocument/2006/relationships" name="April" sheetId="7" r:id="R2e7f8ab1a74d4325"/>
    <x:sheet xmlns:r="http://schemas.openxmlformats.org/officeDocument/2006/relationships" name="Mei" sheetId="8" r:id="R83d3e6eeabb94cb1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6">
    <x:numFmt numFmtId="200" formatCode="0"/>
    <x:numFmt numFmtId="201" formatCode="#,##0"/>
    <x:numFmt numFmtId="202" formatCode="Rp #,##0"/>
    <x:numFmt numFmtId="203" formatCode="#,##0.00"/>
    <x:numFmt numFmtId="204" formatCode="Rp #,##0.00"/>
    <x:numFmt numFmtId="205" formatCode="dd-mmm-yyyy"/>
  </x:numFmts>
  <x:fonts count="6">
    <x:font>
      <x:sz val="11"/>
      <x:name val="Carlito"/>
    </x:font>
    <x:font>
      <x:b/>
      <x:sz val="15"/>
      <x:color rgb="FFFFFFFF"/>
      <x:name val="Carlito"/>
    </x:font>
    <x:font>
      <x:b/>
      <x:sz val="11"/>
      <x:color rgb="FFFFFFFF"/>
      <x:name val="Carlito"/>
    </x:font>
    <x:font>
      <x:b/>
      <x:sz val="11"/>
      <x:name val="Carlito"/>
    </x:font>
    <x:font>
      <x:b/>
      <x:sz val="14"/>
      <x:color rgb="FFFFFFFF"/>
      <x:name val="Carlito"/>
    </x:font>
    <x:font>
      <x:i/>
      <x:sz val="11"/>
      <x:color rgb="FF1F1F1F"/>
      <x:name val="Carlito"/>
    </x:font>
  </x:fonts>
  <x:fills count="11">
    <x:fill>
      <x:patternFill patternType="none"/>
    </x:fill>
    <x:fill>
      <x:patternFill patternType="gray125"/>
    </x:fill>
    <x:fill>
      <x:patternFill patternType="solid">
        <x:fgColor rgb="FF17365D"/>
      </x:patternFill>
    </x:fill>
    <x:fill>
      <x:patternFill patternType="solid">
        <x:fgColor rgb="FFF2F2F2"/>
      </x:patternFill>
    </x:fill>
    <x:fill>
      <x:patternFill patternType="solid">
        <x:fgColor rgb="FF548235"/>
      </x:patternFill>
    </x:fill>
    <x:fill>
      <x:patternFill patternType="solid">
        <x:fgColor rgb="FFD9EAF7"/>
      </x:patternFill>
    </x:fill>
    <x:fill>
      <x:patternFill patternType="solid">
        <x:fgColor rgb="FFFCE4D6"/>
      </x:patternFill>
    </x:fill>
    <x:fill>
      <x:patternFill patternType="solid">
        <x:fgColor rgb="FFFFF2CC"/>
      </x:patternFill>
    </x:fill>
    <x:fill>
      <x:patternFill patternType="solid">
        <x:fgColor rgb="FF2F75B5"/>
      </x:patternFill>
    </x:fill>
    <x:fill>
      <x:patternFill patternType="solid">
        <x:fgColor rgb="FFC55A11"/>
      </x:patternFill>
    </x:fill>
    <x:fill>
      <x:patternFill patternType="solid">
        <x:fgColor rgb="FFE2F0D9"/>
      </x:patternFill>
    </x:fill>
  </x:fills>
  <x:borders count="2">
    <x:border/>
    <x:border/>
  </x:borders>
  <x:cellStyleXfs count="1">
    <x:xf numFmtId="0" fontId="0" fillId="0" borderId="0"/>
  </x:cellStyleXfs>
  <x:cellXfs count="198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center"/>
    </x:xf>
    <x:xf numFmtId="0" fontId="1" fillId="2" borderId="0" xfId="0" applyNumberFormat="1" applyFont="1" applyFill="1" applyBorder="1" applyAlignment="1">
      <x:alignment horizontal="center" vertical="center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horizontal="center"/>
    </x:xf>
    <x:xf numFmtId="0" fontId="1" fillId="2" borderId="1" xfId="0" applyNumberFormat="1" applyFont="1" applyFill="1" applyBorder="1" applyAlignment="1">
      <x:alignment horizontal="center" vertical="center"/>
    </x:xf>
    <x:xf numFmtId="0" fontId="2" fillId="2" borderId="0" xfId="0" applyNumberFormat="1" applyFont="1" applyFill="1" applyBorder="1"/>
    <x:xf numFmtId="0" fontId="2" fillId="2" borderId="0" xfId="0" applyNumberFormat="1" applyFont="1" applyFill="1" applyBorder="1" applyAlignment="1">
      <x:alignment horizontal="center"/>
    </x:xf>
    <x:xf numFmtId="0" fontId="2" fillId="2" borderId="1" xfId="0" applyNumberFormat="1" applyFont="1" applyFill="1" applyBorder="1"/>
    <x:xf numFmtId="0" fontId="2" fillId="2" borderId="1" xfId="0" applyNumberFormat="1" applyFont="1" applyFill="1" applyBorder="1" applyAlignment="1">
      <x:alignment horizontal="center"/>
    </x:xf>
    <x:xf numFmtId="0" fontId="0" fillId="3" borderId="0" xfId="0" applyNumberFormat="1" applyFont="1" applyFill="1" applyBorder="1"/>
    <x:xf numFmtId="0" fontId="3" fillId="3" borderId="0" xfId="0" applyNumberFormat="1" applyFont="1" applyFill="1" applyBorder="1"/>
    <x:xf numFmtId="0" fontId="0" fillId="3" borderId="1" xfId="0" applyNumberFormat="1" applyFont="1" applyFill="1" applyBorder="1"/>
    <x:xf numFmtId="0" fontId="3" fillId="3" borderId="1" xfId="0" applyNumberFormat="1" applyFont="1" applyFill="1" applyBorder="1"/>
    <x:xf numFmtId="0" fontId="2" fillId="2" borderId="0" xfId="0" applyNumberFormat="1" applyFont="1" applyFill="1" applyBorder="1" applyAlignment="1">
      <x:alignment horizontal="center" wrapText="1"/>
    </x:xf>
    <x:xf numFmtId="0" fontId="3" fillId="3" borderId="0" xfId="0" applyNumberFormat="1" applyFont="1" applyFill="1" applyBorder="1" applyAlignment="1">
      <x:alignment wrapText="1"/>
    </x:xf>
    <x:xf numFmtId="0" fontId="0" fillId="0" borderId="0" xfId="0" applyNumberFormat="1" applyFont="1" applyFill="1" applyBorder="1" applyAlignment="1">
      <x:alignment wrapText="1"/>
    </x:xf>
    <x:xf numFmtId="0" fontId="2" fillId="2" borderId="1" xfId="0" applyNumberFormat="1" applyFont="1" applyFill="1" applyBorder="1" applyAlignment="1">
      <x:alignment horizontal="center" wrapText="1"/>
    </x:xf>
    <x:xf numFmtId="0" fontId="3" fillId="3" borderId="1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wrapText="1"/>
    </x:xf>
    <x:xf numFmtId="0" fontId="0" fillId="4" borderId="0" xfId="0" applyNumberFormat="1" applyFont="1" applyFill="1" applyBorder="1"/>
    <x:xf numFmtId="0" fontId="2" fillId="4" borderId="0" xfId="0" applyNumberFormat="1" applyFont="1" applyFill="1" applyBorder="1"/>
    <x:xf numFmtId="0" fontId="2" fillId="4" borderId="0" xfId="0" applyNumberFormat="1" applyFont="1" applyFill="1" applyBorder="1" applyAlignment="1">
      <x:alignment wrapText="1"/>
    </x:xf>
    <x:xf numFmtId="0" fontId="2" fillId="4" borderId="0" xfId="0" applyNumberFormat="1" applyFont="1" applyFill="1" applyBorder="1" applyAlignment="1">
      <x:alignment horizontal="center" wrapText="1"/>
    </x:xf>
    <x:xf numFmtId="0" fontId="2" fillId="4" borderId="0" xfId="0" applyNumberFormat="1" applyFont="1" applyFill="1" applyBorder="1" applyAlignment="1">
      <x:alignment horizontal="center" vertical="center" wrapText="1"/>
    </x:xf>
    <x:xf numFmtId="0" fontId="0" fillId="4" borderId="1" xfId="0" applyNumberFormat="1" applyFont="1" applyFill="1" applyBorder="1"/>
    <x:xf numFmtId="0" fontId="2" fillId="4" borderId="1" xfId="0" applyNumberFormat="1" applyFont="1" applyFill="1" applyBorder="1"/>
    <x:xf numFmtId="0" fontId="2" fillId="4" borderId="1" xfId="0" applyNumberFormat="1" applyFont="1" applyFill="1" applyBorder="1" applyAlignment="1">
      <x:alignment wrapText="1"/>
    </x:xf>
    <x:xf numFmtId="0" fontId="2" fillId="4" borderId="1" xfId="0" applyNumberFormat="1" applyFont="1" applyFill="1" applyBorder="1" applyAlignment="1">
      <x:alignment horizontal="center" wrapText="1"/>
    </x:xf>
    <x:xf numFmtId="0" fontId="2" fillId="4" borderId="1" xfId="0" applyNumberFormat="1" applyFont="1" applyFill="1" applyBorder="1" applyAlignment="1">
      <x:alignment horizontal="center" vertical="center" wrapText="1"/>
    </x:xf>
    <x:xf numFmtId="200" fontId="0" fillId="0" borderId="0" xfId="0" applyNumberFormat="1" applyFont="1" applyFill="1" applyBorder="1" applyAlignment="1">
      <x:alignment wrapText="1"/>
    </x:xf>
    <x:xf numFmtId="200" fontId="0" fillId="0" borderId="1" xfId="0" applyNumberFormat="1" applyFont="1" applyFill="1" applyBorder="1" applyAlignment="1">
      <x:alignment wrapText="1"/>
    </x:xf>
    <x:xf numFmtId="201" fontId="0" fillId="0" borderId="0" xfId="0" applyNumberFormat="1" applyFont="1" applyFill="1" applyBorder="1"/>
    <x:xf numFmtId="201" fontId="2" fillId="2" borderId="0" xfId="0" applyNumberFormat="1" applyFont="1" applyFill="1" applyBorder="1"/>
    <x:xf numFmtId="201" fontId="0" fillId="0" borderId="1" xfId="0" applyNumberFormat="1" applyFont="1" applyFill="1" applyBorder="1"/>
    <x:xf numFmtId="201" fontId="2" fillId="2" borderId="1" xfId="0" applyNumberFormat="1" applyFont="1" applyFill="1" applyBorder="1"/>
    <x:xf numFmtId="202" fontId="0" fillId="0" borderId="0" xfId="0" applyNumberFormat="1" applyFont="1" applyFill="1" applyBorder="1"/>
    <x:xf numFmtId="202" fontId="2" fillId="2" borderId="0" xfId="0" applyNumberFormat="1" applyFont="1" applyFill="1" applyBorder="1"/>
    <x:xf numFmtId="202" fontId="0" fillId="0" borderId="1" xfId="0" applyNumberFormat="1" applyFont="1" applyFill="1" applyBorder="1"/>
    <x:xf numFmtId="202" fontId="2" fillId="2" borderId="1" xfId="0" applyNumberFormat="1" applyFont="1" applyFill="1" applyBorder="1"/>
    <x:xf numFmtId="203" fontId="0" fillId="0" borderId="0" xfId="0" applyNumberFormat="1" applyFont="1" applyFill="1" applyBorder="1"/>
    <x:xf numFmtId="203" fontId="2" fillId="2" borderId="0" xfId="0" applyNumberFormat="1" applyFont="1" applyFill="1" applyBorder="1"/>
    <x:xf numFmtId="203" fontId="0" fillId="0" borderId="1" xfId="0" applyNumberFormat="1" applyFont="1" applyFill="1" applyBorder="1"/>
    <x:xf numFmtId="203" fontId="2" fillId="2" borderId="1" xfId="0" applyNumberFormat="1" applyFont="1" applyFill="1" applyBorder="1"/>
    <x:xf numFmtId="204" fontId="0" fillId="0" borderId="0" xfId="0" applyNumberFormat="1" applyFont="1" applyFill="1" applyBorder="1"/>
    <x:xf numFmtId="204" fontId="2" fillId="2" borderId="0" xfId="0" applyNumberFormat="1" applyFont="1" applyFill="1" applyBorder="1"/>
    <x:xf numFmtId="204" fontId="0" fillId="0" borderId="1" xfId="0" applyNumberFormat="1" applyFont="1" applyFill="1" applyBorder="1"/>
    <x:xf numFmtId="204" fontId="2" fillId="2" borderId="1" xfId="0" applyNumberFormat="1" applyFont="1" applyFill="1" applyBorder="1"/>
    <x:xf numFmtId="0" fontId="0" fillId="0" borderId="0" xfId="0" applyNumberFormat="1" applyFont="1" applyFill="1" applyBorder="1" applyAlignment="1">
      <x:alignment vertical="center"/>
    </x:xf>
    <x:xf numFmtId="0" fontId="2" fillId="2" borderId="0" xfId="0" applyNumberFormat="1" applyFont="1" applyFill="1" applyBorder="1" applyAlignment="1">
      <x:alignment horizontal="center" vertical="center" wrapText="1"/>
    </x:xf>
    <x:xf numFmtId="0" fontId="3" fillId="3" borderId="0" xfId="0" applyNumberFormat="1" applyFont="1" applyFill="1" applyBorder="1" applyAlignment="1">
      <x:alignment vertical="center" wrapText="1"/>
    </x:xf>
    <x:xf numFmtId="200" fontId="0" fillId="0" borderId="0" xfId="0" applyNumberFormat="1" applyFont="1" applyFill="1" applyBorder="1" applyAlignment="1">
      <x:alignment vertical="center" wrapText="1"/>
    </x:xf>
    <x:xf numFmtId="0" fontId="0" fillId="0" borderId="0" xfId="0" applyNumberFormat="1" applyFont="1" applyFill="1" applyBorder="1" applyAlignment="1">
      <x:alignment vertical="center" wrapText="1"/>
    </x:xf>
    <x:xf numFmtId="201" fontId="0" fillId="0" borderId="0" xfId="0" applyNumberFormat="1" applyFont="1" applyFill="1" applyBorder="1" applyAlignment="1">
      <x:alignment vertical="center"/>
    </x:xf>
    <x:xf numFmtId="202" fontId="0" fillId="0" borderId="0" xfId="0" applyNumberFormat="1" applyFont="1" applyFill="1" applyBorder="1" applyAlignment="1">
      <x:alignment vertical="center"/>
    </x:xf>
    <x:xf numFmtId="203" fontId="0" fillId="0" borderId="0" xfId="0" applyNumberFormat="1" applyFont="1" applyFill="1" applyBorder="1" applyAlignment="1">
      <x:alignment vertical="center"/>
    </x:xf>
    <x:xf numFmtId="204" fontId="0" fillId="0" borderId="0" xfId="0" applyNumberFormat="1" applyFont="1" applyFill="1" applyBorder="1" applyAlignment="1">
      <x:alignment vertical="center"/>
    </x:xf>
    <x:xf numFmtId="0" fontId="2" fillId="2" borderId="0" xfId="0" applyNumberFormat="1" applyFont="1" applyFill="1" applyBorder="1" applyAlignment="1">
      <x:alignment vertical="center"/>
    </x:xf>
    <x:xf numFmtId="201" fontId="2" fillId="2" borderId="0" xfId="0" applyNumberFormat="1" applyFont="1" applyFill="1" applyBorder="1" applyAlignment="1">
      <x:alignment vertical="center"/>
    </x:xf>
    <x:xf numFmtId="202" fontId="2" fillId="2" borderId="0" xfId="0" applyNumberFormat="1" applyFont="1" applyFill="1" applyBorder="1" applyAlignment="1">
      <x:alignment vertical="center"/>
    </x:xf>
    <x:xf numFmtId="203" fontId="2" fillId="2" borderId="0" xfId="0" applyNumberFormat="1" applyFont="1" applyFill="1" applyBorder="1" applyAlignment="1">
      <x:alignment vertical="center"/>
    </x:xf>
    <x:xf numFmtId="204" fontId="2" fillId="2" borderId="0" xfId="0" applyNumberFormat="1" applyFont="1" applyFill="1" applyBorder="1" applyAlignment="1">
      <x:alignment vertical="center"/>
    </x:xf>
    <x:xf numFmtId="0" fontId="0" fillId="0" borderId="1" xfId="0" applyNumberFormat="1" applyFont="1" applyFill="1" applyBorder="1" applyAlignment="1">
      <x:alignment vertical="center"/>
    </x:xf>
    <x:xf numFmtId="0" fontId="2" fillId="2" borderId="1" xfId="0" applyNumberFormat="1" applyFont="1" applyFill="1" applyBorder="1" applyAlignment="1">
      <x:alignment horizontal="center" vertical="center" wrapText="1"/>
    </x:xf>
    <x:xf numFmtId="0" fontId="3" fillId="3" borderId="1" xfId="0" applyNumberFormat="1" applyFont="1" applyFill="1" applyBorder="1" applyAlignment="1">
      <x:alignment vertical="center" wrapText="1"/>
    </x:xf>
    <x:xf numFmtId="200" fontId="0" fillId="0" borderId="1" xfId="0" applyNumberFormat="1" applyFont="1" applyFill="1" applyBorder="1" applyAlignment="1">
      <x:alignment vertical="center" wrapText="1"/>
    </x:xf>
    <x:xf numFmtId="0" fontId="0" fillId="0" borderId="1" xfId="0" applyNumberFormat="1" applyFont="1" applyFill="1" applyBorder="1" applyAlignment="1">
      <x:alignment vertical="center" wrapText="1"/>
    </x:xf>
    <x:xf numFmtId="201" fontId="0" fillId="0" borderId="1" xfId="0" applyNumberFormat="1" applyFont="1" applyFill="1" applyBorder="1" applyAlignment="1">
      <x:alignment vertical="center"/>
    </x:xf>
    <x:xf numFmtId="202" fontId="0" fillId="0" borderId="1" xfId="0" applyNumberFormat="1" applyFont="1" applyFill="1" applyBorder="1" applyAlignment="1">
      <x:alignment vertical="center"/>
    </x:xf>
    <x:xf numFmtId="203" fontId="0" fillId="0" borderId="1" xfId="0" applyNumberFormat="1" applyFont="1" applyFill="1" applyBorder="1" applyAlignment="1">
      <x:alignment vertical="center"/>
    </x:xf>
    <x:xf numFmtId="204" fontId="0" fillId="0" borderId="1" xfId="0" applyNumberFormat="1" applyFont="1" applyFill="1" applyBorder="1" applyAlignment="1">
      <x:alignment vertical="center"/>
    </x:xf>
    <x:xf numFmtId="0" fontId="2" fillId="2" borderId="1" xfId="0" applyNumberFormat="1" applyFont="1" applyFill="1" applyBorder="1" applyAlignment="1">
      <x:alignment vertical="center"/>
    </x:xf>
    <x:xf numFmtId="201" fontId="2" fillId="2" borderId="1" xfId="0" applyNumberFormat="1" applyFont="1" applyFill="1" applyBorder="1" applyAlignment="1">
      <x:alignment vertical="center"/>
    </x:xf>
    <x:xf numFmtId="202" fontId="2" fillId="2" borderId="1" xfId="0" applyNumberFormat="1" applyFont="1" applyFill="1" applyBorder="1" applyAlignment="1">
      <x:alignment vertical="center"/>
    </x:xf>
    <x:xf numFmtId="203" fontId="2" fillId="2" borderId="1" xfId="0" applyNumberFormat="1" applyFont="1" applyFill="1" applyBorder="1" applyAlignment="1">
      <x:alignment vertical="center"/>
    </x:xf>
    <x:xf numFmtId="204" fontId="2" fillId="2" borderId="1" xfId="0" applyNumberFormat="1" applyFont="1" applyFill="1" applyBorder="1" applyAlignment="1">
      <x:alignment vertical="center"/>
    </x:xf>
    <x:xf numFmtId="0" fontId="1" fillId="2" borderId="0" xfId="0" applyNumberFormat="1" applyFont="1" applyFill="1" applyBorder="1" applyAlignment="1">
      <x:alignment horizontal="center" vertical="center" wrapText="1"/>
    </x:xf>
    <x:xf numFmtId="201" fontId="0" fillId="0" borderId="0" xfId="0" applyNumberFormat="1" applyFont="1" applyFill="1" applyBorder="1" applyAlignment="1">
      <x:alignment vertical="center" wrapText="1"/>
    </x:xf>
    <x:xf numFmtId="202" fontId="0" fillId="0" borderId="0" xfId="0" applyNumberFormat="1" applyFont="1" applyFill="1" applyBorder="1" applyAlignment="1">
      <x:alignment vertical="center" wrapText="1"/>
    </x:xf>
    <x:xf numFmtId="203" fontId="0" fillId="0" borderId="0" xfId="0" applyNumberFormat="1" applyFont="1" applyFill="1" applyBorder="1" applyAlignment="1">
      <x:alignment vertical="center" wrapText="1"/>
    </x:xf>
    <x:xf numFmtId="204" fontId="0" fillId="0" borderId="0" xfId="0" applyNumberFormat="1" applyFont="1" applyFill="1" applyBorder="1" applyAlignment="1">
      <x:alignment vertical="center" wrapText="1"/>
    </x:xf>
    <x:xf numFmtId="0" fontId="2" fillId="2" borderId="0" xfId="0" applyNumberFormat="1" applyFont="1" applyFill="1" applyBorder="1" applyAlignment="1">
      <x:alignment vertical="center" wrapText="1"/>
    </x:xf>
    <x:xf numFmtId="201" fontId="2" fillId="2" borderId="0" xfId="0" applyNumberFormat="1" applyFont="1" applyFill="1" applyBorder="1" applyAlignment="1">
      <x:alignment vertical="center" wrapText="1"/>
    </x:xf>
    <x:xf numFmtId="202" fontId="2" fillId="2" borderId="0" xfId="0" applyNumberFormat="1" applyFont="1" applyFill="1" applyBorder="1" applyAlignment="1">
      <x:alignment vertical="center" wrapText="1"/>
    </x:xf>
    <x:xf numFmtId="203" fontId="2" fillId="2" borderId="0" xfId="0" applyNumberFormat="1" applyFont="1" applyFill="1" applyBorder="1" applyAlignment="1">
      <x:alignment vertical="center" wrapText="1"/>
    </x:xf>
    <x:xf numFmtId="204" fontId="2" fillId="2" borderId="0" xfId="0" applyNumberFormat="1" applyFont="1" applyFill="1" applyBorder="1" applyAlignment="1">
      <x:alignment vertical="center" wrapText="1"/>
    </x:xf>
    <x:xf numFmtId="0" fontId="1" fillId="2" borderId="1" xfId="0" applyNumberFormat="1" applyFont="1" applyFill="1" applyBorder="1" applyAlignment="1">
      <x:alignment horizontal="center" vertical="center" wrapText="1"/>
    </x:xf>
    <x:xf numFmtId="201" fontId="0" fillId="0" borderId="1" xfId="0" applyNumberFormat="1" applyFont="1" applyFill="1" applyBorder="1" applyAlignment="1">
      <x:alignment vertical="center" wrapText="1"/>
    </x:xf>
    <x:xf numFmtId="202" fontId="0" fillId="0" borderId="1" xfId="0" applyNumberFormat="1" applyFont="1" applyFill="1" applyBorder="1" applyAlignment="1">
      <x:alignment vertical="center" wrapText="1"/>
    </x:xf>
    <x:xf numFmtId="203" fontId="0" fillId="0" borderId="1" xfId="0" applyNumberFormat="1" applyFont="1" applyFill="1" applyBorder="1" applyAlignment="1">
      <x:alignment vertical="center" wrapText="1"/>
    </x:xf>
    <x:xf numFmtId="204" fontId="0" fillId="0" borderId="1" xfId="0" applyNumberFormat="1" applyFont="1" applyFill="1" applyBorder="1" applyAlignment="1">
      <x:alignment vertical="center" wrapText="1"/>
    </x:xf>
    <x:xf numFmtId="0" fontId="2" fillId="2" borderId="1" xfId="0" applyNumberFormat="1" applyFont="1" applyFill="1" applyBorder="1" applyAlignment="1">
      <x:alignment vertical="center" wrapText="1"/>
    </x:xf>
    <x:xf numFmtId="201" fontId="2" fillId="2" borderId="1" xfId="0" applyNumberFormat="1" applyFont="1" applyFill="1" applyBorder="1" applyAlignment="1">
      <x:alignment vertical="center" wrapText="1"/>
    </x:xf>
    <x:xf numFmtId="202" fontId="2" fillId="2" borderId="1" xfId="0" applyNumberFormat="1" applyFont="1" applyFill="1" applyBorder="1" applyAlignment="1">
      <x:alignment vertical="center" wrapText="1"/>
    </x:xf>
    <x:xf numFmtId="203" fontId="2" fillId="2" borderId="1" xfId="0" applyNumberFormat="1" applyFont="1" applyFill="1" applyBorder="1" applyAlignment="1">
      <x:alignment vertical="center" wrapText="1"/>
    </x:xf>
    <x:xf numFmtId="204" fontId="2" fillId="2" borderId="1" xfId="0" applyNumberFormat="1" applyFont="1" applyFill="1" applyBorder="1" applyAlignment="1">
      <x:alignment vertical="center" wrapText="1"/>
    </x:xf>
    <x:xf numFmtId="0" fontId="4" fillId="2" borderId="0" xfId="0" applyNumberFormat="1" applyFont="1" applyFill="1" applyBorder="1"/>
    <x:xf numFmtId="0" fontId="4" fillId="2" borderId="0" xfId="0" applyNumberFormat="1" applyFont="1" applyFill="1" applyBorder="1" applyAlignment="1">
      <x:alignment horizontal="center"/>
    </x:xf>
    <x:xf numFmtId="0" fontId="4" fillId="2" borderId="0" xfId="0" applyNumberFormat="1" applyFont="1" applyFill="1" applyBorder="1" applyAlignment="1">
      <x:alignment horizontal="center" vertical="center"/>
    </x:xf>
    <x:xf numFmtId="0" fontId="4" fillId="2" borderId="1" xfId="0" applyNumberFormat="1" applyFont="1" applyFill="1" applyBorder="1"/>
    <x:xf numFmtId="0" fontId="4" fillId="2" borderId="1" xfId="0" applyNumberFormat="1" applyFont="1" applyFill="1" applyBorder="1" applyAlignment="1">
      <x:alignment horizontal="center"/>
    </x:xf>
    <x:xf numFmtId="0" fontId="4" fillId="2" borderId="1" xfId="0" applyNumberFormat="1" applyFont="1" applyFill="1" applyBorder="1" applyAlignment="1">
      <x:alignment horizontal="center" vertical="center"/>
    </x:xf>
    <x:xf numFmtId="0" fontId="2" fillId="4" borderId="0" xfId="0" applyNumberFormat="1" applyFont="1" applyFill="1" applyBorder="1" applyAlignment="1">
      <x:alignment horizontal="center"/>
    </x:xf>
    <x:xf numFmtId="0" fontId="2" fillId="4" borderId="0" xfId="0" applyNumberFormat="1" applyFont="1" applyFill="1" applyBorder="1" applyAlignment="1">
      <x:alignment horizontal="center" vertical="center"/>
    </x:xf>
    <x:xf numFmtId="0" fontId="2" fillId="4" borderId="1" xfId="0" applyNumberFormat="1" applyFont="1" applyFill="1" applyBorder="1" applyAlignment="1">
      <x:alignment horizontal="center"/>
    </x:xf>
    <x:xf numFmtId="0" fontId="2" fillId="4" borderId="1" xfId="0" applyNumberFormat="1" applyFont="1" applyFill="1" applyBorder="1" applyAlignment="1">
      <x:alignment horizontal="center" vertical="center"/>
    </x:xf>
    <x:xf numFmtId="0" fontId="0" fillId="0" borderId="0" xfId="0" applyNumberFormat="1" applyFont="1" applyFill="1" applyBorder="1" applyAlignment="1">
      <x:alignment horizontal="center"/>
    </x:xf>
    <x:xf numFmtId="0" fontId="0" fillId="0" borderId="1" xfId="0" applyNumberFormat="1" applyFont="1" applyFill="1" applyBorder="1" applyAlignment="1">
      <x:alignment horizontal="center"/>
    </x:xf>
    <x:xf numFmtId="0" fontId="0" fillId="5" borderId="0" xfId="0" applyNumberFormat="1" applyFont="1" applyFill="1" applyBorder="1" applyAlignment="1">
      <x:alignment horizontal="center"/>
    </x:xf>
    <x:xf numFmtId="0" fontId="0" fillId="5" borderId="0" xfId="0" applyNumberFormat="1" applyFont="1" applyFill="1" applyBorder="1"/>
    <x:xf numFmtId="202" fontId="0" fillId="5" borderId="0" xfId="0" applyNumberFormat="1" applyFont="1" applyFill="1" applyBorder="1"/>
    <x:xf numFmtId="0" fontId="0" fillId="5" borderId="1" xfId="0" applyNumberFormat="1" applyFont="1" applyFill="1" applyBorder="1" applyAlignment="1">
      <x:alignment horizontal="center"/>
    </x:xf>
    <x:xf numFmtId="0" fontId="0" fillId="5" borderId="1" xfId="0" applyNumberFormat="1" applyFont="1" applyFill="1" applyBorder="1"/>
    <x:xf numFmtId="202" fontId="0" fillId="5" borderId="1" xfId="0" applyNumberFormat="1" applyFont="1" applyFill="1" applyBorder="1"/>
    <x:xf numFmtId="0" fontId="0" fillId="6" borderId="0" xfId="0" applyNumberFormat="1" applyFont="1" applyFill="1" applyBorder="1" applyAlignment="1">
      <x:alignment horizontal="center"/>
    </x:xf>
    <x:xf numFmtId="0" fontId="0" fillId="6" borderId="0" xfId="0" applyNumberFormat="1" applyFont="1" applyFill="1" applyBorder="1"/>
    <x:xf numFmtId="202" fontId="0" fillId="6" borderId="0" xfId="0" applyNumberFormat="1" applyFont="1" applyFill="1" applyBorder="1"/>
    <x:xf numFmtId="0" fontId="0" fillId="6" borderId="1" xfId="0" applyNumberFormat="1" applyFont="1" applyFill="1" applyBorder="1" applyAlignment="1">
      <x:alignment horizontal="center"/>
    </x:xf>
    <x:xf numFmtId="0" fontId="0" fillId="6" borderId="1" xfId="0" applyNumberFormat="1" applyFont="1" applyFill="1" applyBorder="1"/>
    <x:xf numFmtId="202" fontId="0" fillId="6" borderId="1" xfId="0" applyNumberFormat="1" applyFont="1" applyFill="1" applyBorder="1"/>
    <x:xf numFmtId="0" fontId="0" fillId="5" borderId="0" xfId="0" applyNumberFormat="1" applyFont="1" applyFill="1" applyBorder="1" applyAlignment="1">
      <x:alignment horizontal="center" wrapText="1"/>
    </x:xf>
    <x:xf numFmtId="0" fontId="0" fillId="5" borderId="0" xfId="0" applyNumberFormat="1" applyFont="1" applyFill="1" applyBorder="1" applyAlignment="1">
      <x:alignment wrapText="1"/>
    </x:xf>
    <x:xf numFmtId="202" fontId="0" fillId="5" borderId="0" xfId="0" applyNumberFormat="1" applyFont="1" applyFill="1" applyBorder="1" applyAlignment="1">
      <x:alignment wrapText="1"/>
    </x:xf>
    <x:xf numFmtId="0" fontId="0" fillId="6" borderId="0" xfId="0" applyNumberFormat="1" applyFont="1" applyFill="1" applyBorder="1" applyAlignment="1">
      <x:alignment horizontal="center" wrapText="1"/>
    </x:xf>
    <x:xf numFmtId="0" fontId="0" fillId="6" borderId="0" xfId="0" applyNumberFormat="1" applyFont="1" applyFill="1" applyBorder="1" applyAlignment="1">
      <x:alignment wrapText="1"/>
    </x:xf>
    <x:xf numFmtId="202" fontId="0" fillId="6" borderId="0" xfId="0" applyNumberFormat="1" applyFont="1" applyFill="1" applyBorder="1" applyAlignment="1">
      <x:alignment wrapText="1"/>
    </x:xf>
    <x:xf numFmtId="0" fontId="0" fillId="5" borderId="1" xfId="0" applyNumberFormat="1" applyFont="1" applyFill="1" applyBorder="1" applyAlignment="1">
      <x:alignment horizontal="center" wrapText="1"/>
    </x:xf>
    <x:xf numFmtId="0" fontId="0" fillId="5" borderId="1" xfId="0" applyNumberFormat="1" applyFont="1" applyFill="1" applyBorder="1" applyAlignment="1">
      <x:alignment wrapText="1"/>
    </x:xf>
    <x:xf numFmtId="202" fontId="0" fillId="5" borderId="1" xfId="0" applyNumberFormat="1" applyFont="1" applyFill="1" applyBorder="1" applyAlignment="1">
      <x:alignment wrapText="1"/>
    </x:xf>
    <x:xf numFmtId="0" fontId="0" fillId="6" borderId="1" xfId="0" applyNumberFormat="1" applyFont="1" applyFill="1" applyBorder="1" applyAlignment="1">
      <x:alignment horizontal="center" wrapText="1"/>
    </x:xf>
    <x:xf numFmtId="0" fontId="0" fillId="6" borderId="1" xfId="0" applyNumberFormat="1" applyFont="1" applyFill="1" applyBorder="1" applyAlignment="1">
      <x:alignment wrapText="1"/>
    </x:xf>
    <x:xf numFmtId="202" fontId="0" fillId="6" borderId="1" xfId="0" applyNumberFormat="1" applyFont="1" applyFill="1" applyBorder="1" applyAlignment="1">
      <x:alignment wrapText="1"/>
    </x:xf>
    <x:xf numFmtId="0" fontId="2" fillId="4" borderId="0" xfId="0" applyNumberFormat="1" applyFont="1" applyFill="1" applyBorder="1" applyAlignment="1">
      <x:alignment horizontal="center" vertical="top" wrapText="1"/>
    </x:xf>
    <x:xf numFmtId="0" fontId="3" fillId="3" borderId="0" xfId="0" applyNumberFormat="1" applyFont="1" applyFill="1" applyBorder="1" applyAlignment="1">
      <x:alignment vertical="top" wrapText="1"/>
    </x:xf>
    <x:xf numFmtId="0" fontId="0" fillId="0" borderId="0" xfId="0" applyNumberFormat="1" applyFont="1" applyFill="1" applyBorder="1" applyAlignment="1">
      <x:alignment vertical="top" wrapText="1"/>
    </x:xf>
    <x:xf numFmtId="0" fontId="2" fillId="4" borderId="1" xfId="0" applyNumberFormat="1" applyFont="1" applyFill="1" applyBorder="1" applyAlignment="1">
      <x:alignment horizontal="center" vertical="top" wrapText="1"/>
    </x:xf>
    <x:xf numFmtId="0" fontId="3" fillId="3" borderId="1" xfId="0" applyNumberFormat="1" applyFont="1" applyFill="1" applyBorder="1" applyAlignment="1">
      <x:alignment vertical="top" wrapText="1"/>
    </x:xf>
    <x:xf numFmtId="0" fontId="0" fillId="0" borderId="1" xfId="0" applyNumberFormat="1" applyFont="1" applyFill="1" applyBorder="1" applyAlignment="1">
      <x:alignment vertical="top" wrapText="1"/>
    </x:xf>
    <x:xf numFmtId="0" fontId="0" fillId="7" borderId="0" xfId="0" applyNumberFormat="1" applyFont="1" applyFill="1" applyBorder="1"/>
    <x:xf numFmtId="0" fontId="5" fillId="7" borderId="0" xfId="0" applyNumberFormat="1" applyFont="1" applyFill="1" applyBorder="1"/>
    <x:xf numFmtId="0" fontId="5" fillId="7" borderId="0" xfId="0" applyNumberFormat="1" applyFont="1" applyFill="1" applyBorder="1" applyAlignment="1">
      <x:alignment horizontal="left"/>
    </x:xf>
    <x:xf numFmtId="0" fontId="5" fillId="7" borderId="0" xfId="0" applyNumberFormat="1" applyFont="1" applyFill="1" applyBorder="1" applyAlignment="1">
      <x:alignment horizontal="left" vertical="center"/>
    </x:xf>
    <x:xf numFmtId="0" fontId="0" fillId="7" borderId="1" xfId="0" applyNumberFormat="1" applyFont="1" applyFill="1" applyBorder="1"/>
    <x:xf numFmtId="0" fontId="5" fillId="7" borderId="1" xfId="0" applyNumberFormat="1" applyFont="1" applyFill="1" applyBorder="1"/>
    <x:xf numFmtId="0" fontId="5" fillId="7" borderId="1" xfId="0" applyNumberFormat="1" applyFont="1" applyFill="1" applyBorder="1" applyAlignment="1">
      <x:alignment horizontal="left"/>
    </x:xf>
    <x:xf numFmtId="0" fontId="5" fillId="7" borderId="1" xfId="0" applyNumberFormat="1" applyFont="1" applyFill="1" applyBorder="1" applyAlignment="1">
      <x:alignment horizontal="left" vertical="center"/>
    </x:xf>
    <x:xf numFmtId="0" fontId="2" fillId="2" borderId="0" xfId="0" applyNumberFormat="1" applyFont="1" applyFill="1" applyBorder="1" applyAlignment="1">
      <x:alignment wrapText="1"/>
    </x:xf>
    <x:xf numFmtId="0" fontId="2" fillId="2" borderId="1" xfId="0" applyNumberFormat="1" applyFont="1" applyFill="1" applyBorder="1" applyAlignment="1">
      <x:alignment wrapText="1"/>
    </x:xf>
    <x:xf numFmtId="0" fontId="0" fillId="8" borderId="0" xfId="0" applyNumberFormat="1" applyFont="1" applyFill="1" applyBorder="1"/>
    <x:xf numFmtId="0" fontId="2" fillId="8" borderId="0" xfId="0" applyNumberFormat="1" applyFont="1" applyFill="1" applyBorder="1"/>
    <x:xf numFmtId="0" fontId="2" fillId="8" borderId="0" xfId="0" applyNumberFormat="1" applyFont="1" applyFill="1" applyBorder="1" applyAlignment="1">
      <x:alignment wrapText="1"/>
    </x:xf>
    <x:xf numFmtId="0" fontId="2" fillId="8" borderId="0" xfId="0" applyNumberFormat="1" applyFont="1" applyFill="1" applyBorder="1" applyAlignment="1">
      <x:alignment horizontal="center" wrapText="1"/>
    </x:xf>
    <x:xf numFmtId="0" fontId="2" fillId="8" borderId="0" xfId="0" applyNumberFormat="1" applyFont="1" applyFill="1" applyBorder="1" applyAlignment="1">
      <x:alignment horizontal="center" vertical="center" wrapText="1"/>
    </x:xf>
    <x:xf numFmtId="0" fontId="0" fillId="8" borderId="1" xfId="0" applyNumberFormat="1" applyFont="1" applyFill="1" applyBorder="1"/>
    <x:xf numFmtId="0" fontId="2" fillId="8" borderId="1" xfId="0" applyNumberFormat="1" applyFont="1" applyFill="1" applyBorder="1"/>
    <x:xf numFmtId="0" fontId="2" fillId="8" borderId="1" xfId="0" applyNumberFormat="1" applyFont="1" applyFill="1" applyBorder="1" applyAlignment="1">
      <x:alignment wrapText="1"/>
    </x:xf>
    <x:xf numFmtId="0" fontId="2" fillId="8" borderId="1" xfId="0" applyNumberFormat="1" applyFont="1" applyFill="1" applyBorder="1" applyAlignment="1">
      <x:alignment horizontal="center" wrapText="1"/>
    </x:xf>
    <x:xf numFmtId="0" fontId="2" fillId="8" borderId="1" xfId="0" applyNumberFormat="1" applyFont="1" applyFill="1" applyBorder="1" applyAlignment="1">
      <x:alignment horizontal="center" vertical="center" wrapText="1"/>
    </x:xf>
    <x:xf numFmtId="0" fontId="0" fillId="9" borderId="0" xfId="0" applyNumberFormat="1" applyFont="1" applyFill="1" applyBorder="1"/>
    <x:xf numFmtId="0" fontId="2" fillId="9" borderId="0" xfId="0" applyNumberFormat="1" applyFont="1" applyFill="1" applyBorder="1"/>
    <x:xf numFmtId="0" fontId="2" fillId="9" borderId="0" xfId="0" applyNumberFormat="1" applyFont="1" applyFill="1" applyBorder="1" applyAlignment="1">
      <x:alignment wrapText="1"/>
    </x:xf>
    <x:xf numFmtId="0" fontId="2" fillId="9" borderId="0" xfId="0" applyNumberFormat="1" applyFont="1" applyFill="1" applyBorder="1" applyAlignment="1">
      <x:alignment horizontal="center" wrapText="1"/>
    </x:xf>
    <x:xf numFmtId="0" fontId="2" fillId="9" borderId="0" xfId="0" applyNumberFormat="1" applyFont="1" applyFill="1" applyBorder="1" applyAlignment="1">
      <x:alignment horizontal="center" vertical="center" wrapText="1"/>
    </x:xf>
    <x:xf numFmtId="0" fontId="0" fillId="9" borderId="1" xfId="0" applyNumberFormat="1" applyFont="1" applyFill="1" applyBorder="1"/>
    <x:xf numFmtId="0" fontId="2" fillId="9" borderId="1" xfId="0" applyNumberFormat="1" applyFont="1" applyFill="1" applyBorder="1"/>
    <x:xf numFmtId="0" fontId="2" fillId="9" borderId="1" xfId="0" applyNumberFormat="1" applyFont="1" applyFill="1" applyBorder="1" applyAlignment="1">
      <x:alignment wrapText="1"/>
    </x:xf>
    <x:xf numFmtId="0" fontId="2" fillId="9" borderId="1" xfId="0" applyNumberFormat="1" applyFont="1" applyFill="1" applyBorder="1" applyAlignment="1">
      <x:alignment horizontal="center" wrapText="1"/>
    </x:xf>
    <x:xf numFmtId="0" fontId="2" fillId="9" borderId="1" xfId="0" applyNumberFormat="1" applyFont="1" applyFill="1" applyBorder="1" applyAlignment="1">
      <x:alignment horizontal="center" vertical="center" wrapText="1"/>
    </x:xf>
    <x:xf numFmtId="205" fontId="0" fillId="0" borderId="0" xfId="0" applyNumberFormat="1" applyFont="1" applyFill="1" applyBorder="1"/>
    <x:xf numFmtId="205" fontId="0" fillId="0" borderId="1" xfId="0" applyNumberFormat="1" applyFont="1" applyFill="1" applyBorder="1"/>
    <x:xf numFmtId="205" fontId="0" fillId="0" borderId="0" xfId="0" applyNumberFormat="1" applyFont="1" applyFill="1" applyBorder="1" applyAlignment="1">
      <x:alignment horizontal="center"/>
    </x:xf>
    <x:xf numFmtId="205" fontId="0" fillId="0" borderId="1" xfId="0" applyNumberFormat="1" applyFont="1" applyFill="1" applyBorder="1" applyAlignment="1">
      <x:alignment horizontal="center"/>
    </x:xf>
    <x:xf numFmtId="201" fontId="0" fillId="0" borderId="0" xfId="0" applyNumberFormat="1" applyFont="1" applyFill="1" applyBorder="1" applyAlignment="1">
      <x:alignment horizontal="right"/>
    </x:xf>
    <x:xf numFmtId="201" fontId="0" fillId="0" borderId="1" xfId="0" applyNumberFormat="1" applyFont="1" applyFill="1" applyBorder="1" applyAlignment="1">
      <x:alignment horizontal="right"/>
    </x:xf>
    <x:xf numFmtId="0" fontId="0" fillId="0" borderId="0" xfId="0" applyNumberFormat="1" applyFont="1" applyFill="1" applyBorder="1" applyAlignment="1">
      <x:alignment horizontal="center" vertical="center"/>
    </x:xf>
    <x:xf numFmtId="205" fontId="0" fillId="0" borderId="0" xfId="0" applyNumberFormat="1" applyFont="1" applyFill="1" applyBorder="1" applyAlignment="1">
      <x:alignment horizontal="center" vertical="center"/>
    </x:xf>
    <x:xf numFmtId="201" fontId="0" fillId="0" borderId="0" xfId="0" applyNumberFormat="1" applyFont="1" applyFill="1" applyBorder="1" applyAlignment="1">
      <x:alignment horizontal="right" vertical="center"/>
    </x:xf>
    <x:xf numFmtId="0" fontId="0" fillId="0" borderId="1" xfId="0" applyNumberFormat="1" applyFont="1" applyFill="1" applyBorder="1" applyAlignment="1">
      <x:alignment horizontal="center" vertical="center"/>
    </x:xf>
    <x:xf numFmtId="205" fontId="0" fillId="0" borderId="1" xfId="0" applyNumberFormat="1" applyFont="1" applyFill="1" applyBorder="1" applyAlignment="1">
      <x:alignment horizontal="center" vertical="center"/>
    </x:xf>
    <x:xf numFmtId="201" fontId="0" fillId="0" borderId="1" xfId="0" applyNumberFormat="1" applyFont="1" applyFill="1" applyBorder="1" applyAlignment="1">
      <x:alignment horizontal="right" vertical="center"/>
    </x:xf>
    <x:xf numFmtId="201" fontId="0" fillId="5" borderId="0" xfId="0" applyNumberFormat="1" applyFont="1" applyFill="1" applyBorder="1" applyAlignment="1">
      <x:alignment horizontal="right" vertical="center"/>
    </x:xf>
    <x:xf numFmtId="201" fontId="0" fillId="5" borderId="1" xfId="0" applyNumberFormat="1" applyFont="1" applyFill="1" applyBorder="1" applyAlignment="1">
      <x:alignment horizontal="right" vertical="center"/>
    </x:xf>
    <x:xf numFmtId="201" fontId="0" fillId="6" borderId="0" xfId="0" applyNumberFormat="1" applyFont="1" applyFill="1" applyBorder="1" applyAlignment="1">
      <x:alignment horizontal="right" vertical="center"/>
    </x:xf>
    <x:xf numFmtId="201" fontId="0" fillId="6" borderId="1" xfId="0" applyNumberFormat="1" applyFont="1" applyFill="1" applyBorder="1" applyAlignment="1">
      <x:alignment horizontal="right" vertical="center"/>
    </x:xf>
    <x:xf numFmtId="201" fontId="0" fillId="10" borderId="0" xfId="0" applyNumberFormat="1" applyFont="1" applyFill="1" applyBorder="1" applyAlignment="1">
      <x:alignment horizontal="right" vertical="center"/>
    </x:xf>
    <x:xf numFmtId="202" fontId="0" fillId="10" borderId="0" xfId="0" applyNumberFormat="1" applyFont="1" applyFill="1" applyBorder="1" applyAlignment="1">
      <x:alignment vertical="center"/>
    </x:xf>
    <x:xf numFmtId="201" fontId="0" fillId="10" borderId="1" xfId="0" applyNumberFormat="1" applyFont="1" applyFill="1" applyBorder="1" applyAlignment="1">
      <x:alignment horizontal="right" vertical="center"/>
    </x:xf>
    <x:xf numFmtId="202" fontId="0" fillId="10" borderId="1" xfId="0" applyNumberFormat="1" applyFont="1" applyFill="1" applyBorder="1" applyAlignment="1">
      <x:alignment vertical="center"/>
    </x:xf>
    <x:xf numFmtId="201" fontId="0" fillId="5" borderId="0" xfId="0" applyNumberFormat="1" applyFont="1" applyFill="1" applyBorder="1" applyAlignment="1">
      <x:alignment wrapText="1"/>
    </x:xf>
    <x:xf numFmtId="201" fontId="0" fillId="6" borderId="0" xfId="0" applyNumberFormat="1" applyFont="1" applyFill="1" applyBorder="1" applyAlignment="1">
      <x:alignment wrapText="1"/>
    </x:xf>
    <x:xf numFmtId="201" fontId="0" fillId="5" borderId="1" xfId="0" applyNumberFormat="1" applyFont="1" applyFill="1" applyBorder="1" applyAlignment="1">
      <x:alignment wrapText="1"/>
    </x:xf>
    <x:xf numFmtId="201" fontId="0" fillId="6" borderId="1" xfId="0" applyNumberFormat="1" applyFont="1" applyFill="1" applyBorder="1" applyAlignment="1">
      <x:alignment wrapText="1"/>
    </x:xf>
    <x:xf numFmtId="201" fontId="0" fillId="10" borderId="0" xfId="0" applyNumberFormat="1" applyFont="1" applyFill="1" applyBorder="1" applyAlignment="1">
      <x:alignment vertical="center"/>
    </x:xf>
    <x:xf numFmtId="201" fontId="0" fillId="10" borderId="1" xfId="0" applyNumberFormat="1" applyFont="1" applyFill="1" applyBorder="1" applyAlignment="1">
      <x:alignment vertical="center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6f24d4ece5a74306" /><Relationship Type="http://schemas.openxmlformats.org/officeDocument/2006/relationships/theme" Target="/xl/theme/theme1.xml" Id="Re8fcc1b457f447ca" /><Relationship Type="http://schemas.openxmlformats.org/officeDocument/2006/relationships/sharedStrings" Target="/xl/sharedStrings.xml" Id="R7c71a647b5b94794" /><Relationship Type="http://schemas.openxmlformats.org/officeDocument/2006/relationships/worksheet" Target="/xl/worksheets/sheet1.xml" Id="R7ff01850ad254cd5" /><Relationship Type="http://schemas.openxmlformats.org/officeDocument/2006/relationships/worksheet" Target="/xl/worksheets/sheet2.xml" Id="R58681f2155dd45fd" /><Relationship Type="http://schemas.openxmlformats.org/officeDocument/2006/relationships/worksheet" Target="/xl/worksheets/sheet3.xml" Id="R13d5680a5678406a" /><Relationship Type="http://schemas.openxmlformats.org/officeDocument/2006/relationships/worksheet" Target="/xl/worksheets/sheet4.xml" Id="R08919835253c4b7c" /><Relationship Type="http://schemas.openxmlformats.org/officeDocument/2006/relationships/worksheet" Target="/xl/worksheets/sheet5.xml" Id="R8ee6772cce0e42d9" /><Relationship Type="http://schemas.openxmlformats.org/officeDocument/2006/relationships/worksheet" Target="/xl/worksheets/sheet6.xml" Id="R6c66083857434a9b" /><Relationship Type="http://schemas.openxmlformats.org/officeDocument/2006/relationships/worksheet" Target="/xl/worksheets/sheet7.xml" Id="R2e7f8ab1a74d4325" /><Relationship Type="http://schemas.openxmlformats.org/officeDocument/2006/relationships/worksheet" Target="/xl/worksheets/sheet8.xml" Id="R83d3e6eeabb94cb1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RowHeight="15"/>
  <x:cols>
    <x:col min="1" max="1" width="18" hidden="0" customWidth="1"/>
    <x:col min="2" max="2" width="15" hidden="0" customWidth="1"/>
    <x:col min="3" max="3" width="16" hidden="0" customWidth="1"/>
    <x:col min="4" max="4" width="14" hidden="0" customWidth="1"/>
    <x:col min="5" max="5" width="20" hidden="0" customWidth="1"/>
    <x:col min="6" max="6" width="18" hidden="0" customWidth="1"/>
    <x:col min="7" max="7" width="24" hidden="0" customWidth="1"/>
  </x:cols>
  <x:sheetData>
    <x:row r="1" ht="28" customHeight="1">
      <x:c r="A1" s="80" t="str">
        <x:v>RINGKASAN DATA PENJUALAN 31 PRODUK | JANUARI–MEI 2026</x:v>
      </x:c>
      <x:c r="B1" s="80"/>
      <x:c r="C1" s="80"/>
      <x:c r="D1" s="80"/>
      <x:c r="E1" s="80"/>
      <x:c r="F1" s="80"/>
      <x:c r="G1" s="80"/>
    </x:row>
    <x:row r="2">
      <x:c r="A2" s="56"/>
      <x:c r="B2" s="56"/>
      <x:c r="C2" s="56"/>
      <x:c r="D2" s="56"/>
      <x:c r="E2" s="56"/>
      <x:c r="F2" s="56"/>
      <x:c r="G2" s="56"/>
    </x:row>
    <x:row r="3">
      <x:c r="A3" s="53" t="str">
        <x:v>Indikator</x:v>
      </x:c>
      <x:c r="B3" s="53" t="str">
        <x:v>Nilai</x:v>
      </x:c>
      <x:c r="C3" s="56"/>
      <x:c r="D3" s="56"/>
      <x:c r="E3" s="56"/>
      <x:c r="F3" s="56"/>
      <x:c r="G3" s="56"/>
    </x:row>
    <x:row r="4">
      <x:c r="A4" s="54" t="str">
        <x:v>Jumlah Produk</x:v>
      </x:c>
      <x:c r="B4" s="55" t="n">
        <x:v>31</x:v>
      </x:c>
      <x:c r="C4" s="56"/>
      <x:c r="D4" s="56"/>
      <x:c r="E4" s="56"/>
      <x:c r="F4" s="56"/>
      <x:c r="G4" s="56"/>
    </x:row>
    <x:row r="5">
      <x:c r="A5" s="54" t="str">
        <x:v>Periode</x:v>
      </x:c>
      <x:c r="B5" s="56" t="str">
        <x:v>Januari–Mei 2026</x:v>
      </x:c>
      <x:c r="C5" s="56"/>
      <x:c r="D5" s="56"/>
      <x:c r="E5" s="56"/>
      <x:c r="F5" s="56"/>
      <x:c r="G5" s="56"/>
    </x:row>
    <x:row r="6">
      <x:c r="A6" s="54" t="str">
        <x:v>Status Data</x:v>
      </x:c>
      <x:c r="B6" s="56" t="str">
        <x:v>10 produk data dasar + 21 produk simulasi tambahan</x:v>
      </x:c>
      <x:c r="C6" s="56"/>
      <x:c r="D6" s="56"/>
      <x:c r="E6" s="56"/>
      <x:c r="F6" s="56"/>
      <x:c r="G6" s="56"/>
    </x:row>
    <x:row r="7">
      <x:c r="A7" s="56"/>
      <x:c r="B7" s="56"/>
      <x:c r="C7" s="56"/>
      <x:c r="D7" s="56"/>
      <x:c r="E7" s="56"/>
      <x:c r="F7" s="56"/>
      <x:c r="G7" s="56"/>
    </x:row>
    <x:row r="8" ht="42" customHeight="1">
      <x:c r="A8" s="28" t="str">
        <x:v>Bulan</x:v>
      </x:c>
      <x:c r="B8" s="28" t="str">
        <x:v>Hari Kalender</x:v>
      </x:c>
      <x:c r="C8" s="28" t="str">
        <x:v>Hari Operasional</x:v>
      </x:c>
      <x:c r="D8" s="28" t="str">
        <x:v>Total Qty</x:v>
      </x:c>
      <x:c r="E8" s="28" t="str">
        <x:v>Total Penjualan (Rp)</x:v>
      </x:c>
      <x:c r="F8" s="28" t="str">
        <x:v>Rata-rata Qty/Hari</x:v>
      </x:c>
      <x:c r="G8" s="28" t="str">
        <x:v>Rata-rata Penjualan/Hari (Rp)</x:v>
      </x:c>
    </x:row>
    <x:row r="9">
      <x:c r="A9" s="56" t="str">
        <x:v>Januari</x:v>
      </x:c>
      <x:c r="B9" s="81" t="n">
        <x:v>31</x:v>
      </x:c>
      <x:c r="C9" s="81" t="n">
        <x:f>COUNTIF('Januari'!AI4:AI34,"&gt;0")</x:f>
        <x:v>31</x:v>
      </x:c>
      <x:c r="D9" s="81" t="n">
        <x:f>'Januari'!AI35</x:f>
        <x:v>28885</x:v>
      </x:c>
      <x:c r="E9" s="81" t="n">
        <x:f>'Januari'!AJ35</x:f>
        <x:v>946705000</x:v>
      </x:c>
      <x:c r="F9" s="83" t="n">
        <x:f>IF(C9=0,0,D9/C9)</x:f>
        <x:v>931.7741935483871</x:v>
      </x:c>
      <x:c r="G9" s="83" t="n">
        <x:f>IF(C9=0,0,E9/C9)</x:f>
        <x:v>30538870.967741936</x:v>
      </x:c>
    </x:row>
    <x:row r="10">
      <x:c r="A10" s="56" t="str">
        <x:v>Februari</x:v>
      </x:c>
      <x:c r="B10" s="81" t="n">
        <x:v>28</x:v>
      </x:c>
      <x:c r="C10" s="81" t="n">
        <x:f>COUNTIF('Februari'!AI4:AI31,"&gt;0")</x:f>
        <x:v>28</x:v>
      </x:c>
      <x:c r="D10" s="81" t="n">
        <x:f>'Februari'!AI32</x:f>
        <x:v>24585</x:v>
      </x:c>
      <x:c r="E10" s="81" t="n">
        <x:f>'Februari'!AJ32</x:f>
        <x:v>805085000</x:v>
      </x:c>
      <x:c r="F10" s="83" t="n">
        <x:f>IF(C10=0,0,D10/C10)</x:f>
        <x:v>878.0357142857143</x:v>
      </x:c>
      <x:c r="G10" s="83" t="n">
        <x:f>IF(C10=0,0,E10/C10)</x:f>
        <x:v>28753035.714285713</x:v>
      </x:c>
    </x:row>
    <x:row r="11">
      <x:c r="A11" s="56" t="str">
        <x:v>Maret</x:v>
      </x:c>
      <x:c r="B11" s="81" t="n">
        <x:v>31</x:v>
      </x:c>
      <x:c r="C11" s="81" t="n">
        <x:f>COUNTIF('Maret'!AI4:AI34,"&gt;0")</x:f>
        <x:v>26</x:v>
      </x:c>
      <x:c r="D11" s="81" t="n">
        <x:f>'Maret'!AI35</x:f>
        <x:v>30225</x:v>
      </x:c>
      <x:c r="E11" s="81" t="n">
        <x:f>'Maret'!AJ35</x:f>
        <x:v>997415000</x:v>
      </x:c>
      <x:c r="F11" s="83" t="n">
        <x:f>IF(C11=0,0,D11/C11)</x:f>
        <x:v>1162.5</x:v>
      </x:c>
      <x:c r="G11" s="83" t="n">
        <x:f>IF(C11=0,0,E11/C11)</x:f>
        <x:v>38362115.384615384</x:v>
      </x:c>
    </x:row>
    <x:row r="12">
      <x:c r="A12" s="56" t="str">
        <x:v>April</x:v>
      </x:c>
      <x:c r="B12" s="81" t="n">
        <x:v>30</x:v>
      </x:c>
      <x:c r="C12" s="81" t="n">
        <x:f>COUNTIF('April'!AI4:AI33,"&gt;0")</x:f>
        <x:v>30</x:v>
      </x:c>
      <x:c r="D12" s="81" t="n">
        <x:f>'April'!AI34</x:f>
        <x:v>27190</x:v>
      </x:c>
      <x:c r="E12" s="81" t="n">
        <x:f>'April'!AJ34</x:f>
        <x:v>889300000</x:v>
      </x:c>
      <x:c r="F12" s="83" t="n">
        <x:f>IF(C12=0,0,D12/C12)</x:f>
        <x:v>906.3333333333334</x:v>
      </x:c>
      <x:c r="G12" s="83" t="n">
        <x:f>IF(C12=0,0,E12/C12)</x:f>
        <x:v>29643333.333333332</x:v>
      </x:c>
    </x:row>
    <x:row r="13">
      <x:c r="A13" s="56" t="str">
        <x:v>Mei</x:v>
      </x:c>
      <x:c r="B13" s="81" t="n">
        <x:v>31</x:v>
      </x:c>
      <x:c r="C13" s="81" t="n">
        <x:f>COUNTIF('Mei'!AI4:AI34,"&gt;0")</x:f>
        <x:v>29</x:v>
      </x:c>
      <x:c r="D13" s="81" t="n">
        <x:f>'Mei'!AI35</x:f>
        <x:v>28945</x:v>
      </x:c>
      <x:c r="E13" s="81" t="n">
        <x:f>'Mei'!AJ35</x:f>
        <x:v>959110000</x:v>
      </x:c>
      <x:c r="F13" s="83" t="n">
        <x:f>IF(C13=0,0,D13/C13)</x:f>
        <x:v>998.1034482758621</x:v>
      </x:c>
      <x:c r="G13" s="83" t="n">
        <x:f>IF(C13=0,0,E13/C13)</x:f>
        <x:v>33072758.620689657</x:v>
      </x:c>
    </x:row>
    <x:row r="14">
      <x:c r="A14" s="85" t="str">
        <x:v>TOTAL 5 BULAN</x:v>
      </x:c>
      <x:c r="B14" s="86" t="n">
        <x:v>151</x:v>
      </x:c>
      <x:c r="C14" s="86" t="n">
        <x:f>SUM(C9:C13)</x:f>
        <x:v>144</x:v>
      </x:c>
      <x:c r="D14" s="86" t="n">
        <x:f>SUM(D9:D13)</x:f>
        <x:v>139830</x:v>
      </x:c>
      <x:c r="E14" s="86" t="n">
        <x:f>SUM(E9:E13)</x:f>
        <x:v>4597615000</x:v>
      </x:c>
      <x:c r="F14" s="88" t="n">
        <x:f>IF(C14=0,0,D14/C14)</x:f>
        <x:v>971.0416666666666</x:v>
      </x:c>
      <x:c r="G14" s="88" t="n">
        <x:f>IF(C14=0,0,E14/C14)</x:f>
        <x:v>31927881.944444444</x:v>
      </x:c>
    </x:row>
  </x:sheetData>
  <x:mergeCells>
    <x:mergeCell ref="A1:G1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defaultRowHeight="15"/>
  <x:cols>
    <x:col min="1" max="1" width="7" hidden="0" customWidth="1"/>
    <x:col min="2" max="2" width="36" hidden="0" customWidth="1"/>
    <x:col min="3" max="3" width="19" hidden="0" customWidth="1"/>
    <x:col min="4" max="4" width="25" hidden="0" customWidth="1"/>
  </x:cols>
  <x:sheetData>
    <x:row r="1" ht="26" customHeight="1">
      <x:c r="A1" s="102" t="str">
        <x:v>DAFTAR 31 PRODUK DAN HARGA SATUAN</x:v>
      </x:c>
      <x:c r="B1" s="102"/>
      <x:c r="C1" s="102"/>
      <x:c r="D1" s="102"/>
    </x:row>
    <x:row r="3">
      <x:c r="A3" s="28" t="str">
        <x:v>No</x:v>
      </x:c>
      <x:c r="B3" s="28" t="str">
        <x:v>Nama Produk</x:v>
      </x:c>
      <x:c r="C3" s="28" t="str">
        <x:v>Harga Satuan (Rp)</x:v>
      </x:c>
      <x:c r="D3" s="28" t="str">
        <x:v>Sumber Data</x:v>
      </x:c>
    </x:row>
    <x:row r="4">
      <x:c r="A4" s="124" t="n">
        <x:v>1</x:v>
      </x:c>
      <x:c r="B4" s="125" t="str">
        <x:v>Okey Sosis 500GR</x:v>
      </x:c>
      <x:c r="C4" s="192" t="n">
        <x:v>18000</x:v>
      </x:c>
      <x:c r="D4" s="125" t="str">
        <x:v>Data dasar (file utama)</x:v>
      </x:c>
    </x:row>
    <x:row r="5">
      <x:c r="A5" s="124" t="n">
        <x:v>2</x:v>
      </x:c>
      <x:c r="B5" s="125" t="str">
        <x:v>Fiesta Chicken Nugget 450GR</x:v>
      </x:c>
      <x:c r="C5" s="192" t="n">
        <x:v>38000</x:v>
      </x:c>
      <x:c r="D5" s="125" t="str">
        <x:v>Data dasar (file utama)</x:v>
      </x:c>
    </x:row>
    <x:row r="6">
      <x:c r="A6" s="124" t="n">
        <x:v>3</x:v>
      </x:c>
      <x:c r="B6" s="125" t="str">
        <x:v>Jamur Enoki</x:v>
      </x:c>
      <x:c r="C6" s="192" t="n">
        <x:v>12000</x:v>
      </x:c>
      <x:c r="D6" s="125" t="str">
        <x:v>Data dasar (file utama)</x:v>
      </x:c>
    </x:row>
    <x:row r="7">
      <x:c r="A7" s="124" t="n">
        <x:v>4</x:v>
      </x:c>
      <x:c r="B7" s="125" t="str">
        <x:v>Meru Lapis Bogor</x:v>
      </x:c>
      <x:c r="C7" s="192" t="n">
        <x:v>45000</x:v>
      </x:c>
      <x:c r="D7" s="125" t="str">
        <x:v>Data dasar (file utama)</x:v>
      </x:c>
    </x:row>
    <x:row r="8">
      <x:c r="A8" s="124" t="n">
        <x:v>5</x:v>
      </x:c>
      <x:c r="B8" s="125" t="str">
        <x:v>Okey Nugget Stik 500GR</x:v>
      </x:c>
      <x:c r="C8" s="192" t="n">
        <x:v>35000</x:v>
      </x:c>
      <x:c r="D8" s="125" t="str">
        <x:v>Data dasar (file utama)</x:v>
      </x:c>
    </x:row>
    <x:row r="9">
      <x:c r="A9" s="124" t="n">
        <x:v>6</x:v>
      </x:c>
      <x:c r="B9" s="125" t="str">
        <x:v>Cireng Rujak</x:v>
      </x:c>
      <x:c r="C9" s="192" t="n">
        <x:v>25000</x:v>
      </x:c>
      <x:c r="D9" s="125" t="str">
        <x:v>Data dasar (file utama)</x:v>
      </x:c>
    </x:row>
    <x:row r="10">
      <x:c r="A10" s="124" t="n">
        <x:v>7</x:v>
      </x:c>
      <x:c r="B10" s="125" t="str">
        <x:v>Salam Nugget 500GR</x:v>
      </x:c>
      <x:c r="C10" s="192" t="n">
        <x:v>38000</x:v>
      </x:c>
      <x:c r="D10" s="125" t="str">
        <x:v>Data dasar (file utama)</x:v>
      </x:c>
    </x:row>
    <x:row r="11">
      <x:c r="A11" s="124" t="n">
        <x:v>8</x:v>
      </x:c>
      <x:c r="B11" s="125" t="str">
        <x:v>Warisan Isi 50</x:v>
      </x:c>
      <x:c r="C11" s="192" t="n">
        <x:v>65000</x:v>
      </x:c>
      <x:c r="D11" s="125" t="str">
        <x:v>Data dasar (file utama)</x:v>
      </x:c>
    </x:row>
    <x:row r="12">
      <x:c r="A12" s="124" t="n">
        <x:v>9</x:v>
      </x:c>
      <x:c r="B12" s="125" t="str">
        <x:v>Belfood Sosis Isi 30</x:v>
      </x:c>
      <x:c r="C12" s="192" t="n">
        <x:v>45000</x:v>
      </x:c>
      <x:c r="D12" s="125" t="str">
        <x:v>Data dasar (file utama)</x:v>
      </x:c>
    </x:row>
    <x:row r="13">
      <x:c r="A13" s="124" t="n">
        <x:v>10</x:v>
      </x:c>
      <x:c r="B13" s="125" t="str">
        <x:v>Richeese Nugget</x:v>
      </x:c>
      <x:c r="C13" s="192" t="n">
        <x:v>35000</x:v>
      </x:c>
      <x:c r="D13" s="125" t="str">
        <x:v>Data dasar (file utama)</x:v>
      </x:c>
    </x:row>
    <x:row r="14">
      <x:c r="A14" s="127" t="n">
        <x:v>11</x:v>
      </x:c>
      <x:c r="B14" s="128" t="str">
        <x:v>Nugget Ayam Original 500g</x:v>
      </x:c>
      <x:c r="C14" s="193" t="n">
        <x:v>38000</x:v>
      </x:c>
      <x:c r="D14" s="128" t="str">
        <x:v>Data simulasi tambahan</x:v>
      </x:c>
    </x:row>
    <x:row r="15">
      <x:c r="A15" s="127" t="n">
        <x:v>12</x:v>
      </x:c>
      <x:c r="B15" s="128" t="str">
        <x:v>Nugget Ayam Crispy 400g</x:v>
      </x:c>
      <x:c r="C15" s="193" t="n">
        <x:v>36000</x:v>
      </x:c>
      <x:c r="D15" s="128" t="str">
        <x:v>Data simulasi tambahan</x:v>
      </x:c>
    </x:row>
    <x:row r="16">
      <x:c r="A16" s="127" t="n">
        <x:v>13</x:v>
      </x:c>
      <x:c r="B16" s="128" t="str">
        <x:v>Champ Nugget Kombinasi 450GR</x:v>
      </x:c>
      <x:c r="C16" s="193" t="n">
        <x:v>48000</x:v>
      </x:c>
      <x:c r="D16" s="128" t="str">
        <x:v>Data simulasi tambahan</x:v>
      </x:c>
    </x:row>
    <x:row r="17">
      <x:c r="A17" s="127" t="n">
        <x:v>14</x:v>
      </x:c>
      <x:c r="B17" s="128" t="str">
        <x:v>Chicken Nugget Stick 250g</x:v>
      </x:c>
      <x:c r="C17" s="193" t="n">
        <x:v>19000</x:v>
      </x:c>
      <x:c r="D17" s="128" t="str">
        <x:v>Data simulasi tambahan</x:v>
      </x:c>
    </x:row>
    <x:row r="18">
      <x:c r="A18" s="127" t="n">
        <x:v>15</x:v>
      </x:c>
      <x:c r="B18" s="128" t="str">
        <x:v>Chicken Nugget Stick 500g</x:v>
      </x:c>
      <x:c r="C18" s="193" t="n">
        <x:v>36000</x:v>
      </x:c>
      <x:c r="D18" s="128" t="str">
        <x:v>Data simulasi tambahan</x:v>
      </x:c>
    </x:row>
    <x:row r="19">
      <x:c r="A19" s="127" t="n">
        <x:v>16</x:v>
      </x:c>
      <x:c r="B19" s="128" t="str">
        <x:v>Bakso Soni</x:v>
      </x:c>
      <x:c r="C19" s="193" t="n">
        <x:v>34000</x:v>
      </x:c>
      <x:c r="D19" s="128" t="str">
        <x:v>Data simulasi tambahan</x:v>
      </x:c>
    </x:row>
    <x:row r="20">
      <x:c r="A20" s="127" t="n">
        <x:v>17</x:v>
      </x:c>
      <x:c r="B20" s="128" t="str">
        <x:v>Spicy Chicken Wings 500g</x:v>
      </x:c>
      <x:c r="C20" s="193" t="n">
        <x:v>42000</x:v>
      </x:c>
      <x:c r="D20" s="128" t="str">
        <x:v>Data simulasi tambahan</x:v>
      </x:c>
    </x:row>
    <x:row r="21">
      <x:c r="A21" s="127" t="n">
        <x:v>18</x:v>
      </x:c>
      <x:c r="B21" s="128" t="str">
        <x:v>Sosis Ayam Besar 360g</x:v>
      </x:c>
      <x:c r="C21" s="193" t="n">
        <x:v>24000</x:v>
      </x:c>
      <x:c r="D21" s="128" t="str">
        <x:v>Data simulasi tambahan</x:v>
      </x:c>
    </x:row>
    <x:row r="22">
      <x:c r="A22" s="127" t="n">
        <x:v>19</x:v>
      </x:c>
      <x:c r="B22" s="128" t="str">
        <x:v>Sosis Sapi Jumbo 500g</x:v>
      </x:c>
      <x:c r="C22" s="193" t="n">
        <x:v>38000</x:v>
      </x:c>
      <x:c r="D22" s="128" t="str">
        <x:v>Data simulasi tambahan</x:v>
      </x:c>
    </x:row>
    <x:row r="23">
      <x:c r="A23" s="127" t="n">
        <x:v>20</x:v>
      </x:c>
      <x:c r="B23" s="128" t="str">
        <x:v>Sosis Kanzler Beef 500g</x:v>
      </x:c>
      <x:c r="C23" s="193" t="n">
        <x:v>46000</x:v>
      </x:c>
      <x:c r="D23" s="128" t="str">
        <x:v>Data simulasi tambahan</x:v>
      </x:c>
    </x:row>
    <x:row r="24">
      <x:c r="A24" s="127" t="n">
        <x:v>21</x:v>
      </x:c>
      <x:c r="B24" s="128" t="str">
        <x:v>Sosis Kanzler Cheese 300g</x:v>
      </x:c>
      <x:c r="C24" s="193" t="n">
        <x:v>31000</x:v>
      </x:c>
      <x:c r="D24" s="128" t="str">
        <x:v>Data simulasi tambahan</x:v>
      </x:c>
    </x:row>
    <x:row r="25">
      <x:c r="A25" s="127" t="n">
        <x:v>22</x:v>
      </x:c>
      <x:c r="B25" s="128" t="str">
        <x:v>Sosis Kanzler Cheese 500g</x:v>
      </x:c>
      <x:c r="C25" s="193" t="n">
        <x:v>48000</x:v>
      </x:c>
      <x:c r="D25" s="128" t="str">
        <x:v>Data simulasi tambahan</x:v>
      </x:c>
    </x:row>
    <x:row r="26">
      <x:c r="A26" s="127" t="n">
        <x:v>23</x:v>
      </x:c>
      <x:c r="B26" s="128" t="str">
        <x:v>Bakso Sapi Jumbo 500g</x:v>
      </x:c>
      <x:c r="C26" s="193" t="n">
        <x:v>38000</x:v>
      </x:c>
      <x:c r="D26" s="128" t="str">
        <x:v>Data simulasi tambahan</x:v>
      </x:c>
    </x:row>
    <x:row r="27">
      <x:c r="A27" s="127" t="n">
        <x:v>24</x:v>
      </x:c>
      <x:c r="B27" s="128" t="str">
        <x:v>Warisan Isi 25</x:v>
      </x:c>
      <x:c r="C27" s="193" t="n">
        <x:v>19000</x:v>
      </x:c>
      <x:c r="D27" s="128" t="str">
        <x:v>Data simulasi tambahan</x:v>
      </x:c>
    </x:row>
    <x:row r="28">
      <x:c r="A28" s="127" t="n">
        <x:v>25</x:v>
      </x:c>
      <x:c r="B28" s="128" t="str">
        <x:v>Onion Ring Frozen 250g</x:v>
      </x:c>
      <x:c r="C28" s="193" t="n">
        <x:v>17000</x:v>
      </x:c>
      <x:c r="D28" s="128" t="str">
        <x:v>Data simulasi tambahan</x:v>
      </x:c>
    </x:row>
    <x:row r="29">
      <x:c r="A29" s="127" t="n">
        <x:v>26</x:v>
      </x:c>
      <x:c r="B29" s="128" t="str">
        <x:v>Onion Ring Frozen 500g</x:v>
      </x:c>
      <x:c r="C29" s="193" t="n">
        <x:v>29000</x:v>
      </x:c>
      <x:c r="D29" s="128" t="str">
        <x:v>Data simulasi tambahan</x:v>
      </x:c>
    </x:row>
    <x:row r="30">
      <x:c r="A30" s="127" t="n">
        <x:v>27</x:v>
      </x:c>
      <x:c r="B30" s="128" t="str">
        <x:v>Champ Sosis Sapi 375 gr</x:v>
      </x:c>
      <x:c r="C30" s="193" t="n">
        <x:v>34000</x:v>
      </x:c>
      <x:c r="D30" s="128" t="str">
        <x:v>Data simulasi tambahan</x:v>
      </x:c>
    </x:row>
    <x:row r="31">
      <x:c r="A31" s="127" t="n">
        <x:v>28</x:v>
      </x:c>
      <x:c r="B31" s="128" t="str">
        <x:v>Sallam Nugget 250 gr</x:v>
      </x:c>
      <x:c r="C31" s="193" t="n">
        <x:v>12000</x:v>
      </x:c>
      <x:c r="D31" s="128" t="str">
        <x:v>Data simulasi tambahan</x:v>
      </x:c>
    </x:row>
    <x:row r="32">
      <x:c r="A32" s="127" t="n">
        <x:v>29</x:v>
      </x:c>
      <x:c r="B32" s="128" t="str">
        <x:v>Sallam Bakso Sapi 500 gr</x:v>
      </x:c>
      <x:c r="C32" s="193" t="n">
        <x:v>36000</x:v>
      </x:c>
      <x:c r="D32" s="128" t="str">
        <x:v>Data simulasi tambahan</x:v>
      </x:c>
    </x:row>
    <x:row r="33">
      <x:c r="A33" s="127" t="n">
        <x:v>30</x:v>
      </x:c>
      <x:c r="B33" s="128" t="str">
        <x:v>Fiesta Kentang 500 gr</x:v>
      </x:c>
      <x:c r="C33" s="193" t="n">
        <x:v>18000</x:v>
      </x:c>
      <x:c r="D33" s="128" t="str">
        <x:v>Data simulasi tambahan</x:v>
      </x:c>
    </x:row>
    <x:row r="34">
      <x:c r="A34" s="127" t="n">
        <x:v>31</x:v>
      </x:c>
      <x:c r="B34" s="128" t="str">
        <x:v>Belfood Chicken Nugget 500gr</x:v>
      </x:c>
      <x:c r="C34" s="193" t="n">
        <x:v>36000</x:v>
      </x:c>
      <x:c r="D34" s="128" t="str">
        <x:v>Data simulasi tambahan</x:v>
      </x:c>
    </x:row>
  </x:sheetData>
  <x:mergeCells>
    <x:mergeCell ref="A1:D1"/>
  </x:mergeCells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FormatPr defaultRowHeight="15"/>
  <x:cols>
    <x:col min="1" max="1" width="24" hidden="0" customWidth="1"/>
    <x:col min="2" max="2" width="95" hidden="0" customWidth="1"/>
  </x:cols>
  <x:sheetData>
    <x:row r="1">
      <x:c r="A1" s="102" t="str">
        <x:v>METODOLOGI DAN DISCLAIMER DATA</x:v>
      </x:c>
      <x:c r="B1" s="102"/>
    </x:row>
    <x:row r="3">
      <x:c r="A3" s="136" t="str">
        <x:v>Bagian</x:v>
      </x:c>
      <x:c r="B3" s="136" t="str">
        <x:v>Keterangan</x:v>
      </x:c>
    </x:row>
    <x:row r="4" ht="42" customHeight="1">
      <x:c r="A4" s="137" t="str">
        <x:v>Komposisi data</x:v>
      </x:c>
      <x:c r="B4" s="138" t="str">
        <x:v>Workbook gabungan ini memuat 31 produk untuk periode Januari–Mei 2026: 10 produk dari file data dasar dan 21 produk dari file tambahan.</x:v>
      </x:c>
    </x:row>
    <x:row r="5" ht="42" customHeight="1">
      <x:c r="A5" s="137" t="str">
        <x:v>Status 21 produk tambahan</x:v>
      </x:c>
      <x:c r="B5" s="138" t="str">
        <x:v>Data 21 produk tambahan merupakan data simulasi/hipotetis, bukan transaksi riil perusahaan, sebagaimana dinyatakan pada file sumber.</x:v>
      </x:c>
    </x:row>
    <x:row r="6" ht="42" customHeight="1">
      <x:c r="A6" s="137" t="str">
        <x:v>Perhitungan</x:v>
      </x:c>
      <x:c r="B6" s="138" t="str">
        <x:v>Total Qty dan Total Penjualan dihitung ulang menggunakan formula berdasarkan seluruh 31 produk dan harga satuan pada sheet 'Daftar Produk &amp; Harga'.</x:v>
      </x:c>
    </x:row>
    <x:row r="7" ht="42" customHeight="1">
      <x:c r="A7" s="137" t="str">
        <x:v>Asumsi operasional</x:v>
      </x:c>
      <x:c r="B7" s="138" t="str">
        <x:v>Toko tutup pada 20–24 Maret 2026 serta 27–28 Mei 2026. Di luar tanggal tersebut, data mengikuti file sumber.</x:v>
      </x:c>
    </x:row>
    <x:row r="8" ht="42" customHeight="1">
      <x:c r="A8" s="137" t="str">
        <x:v>Pola simulasi</x:v>
      </x:c>
      <x:c r="B8" s="138" t="str">
        <x:v>Kuantitas dasar produk tambahan berkisar sekitar 30–40 pcs per hari, meningkat pada akhir pekan dan menjelang periode Idul Fitri sesuai metodologi file sumber.</x:v>
      </x:c>
    </x:row>
    <x:row r="9" ht="42" customHeight="1">
      <x:c r="A9" s="137" t="str">
        <x:v>Sumber file utama</x:v>
      </x:c>
      <x:c r="B9" s="138" t="str">
        <x:v>Della_FrozenMart_Jan-Mei_2026_Final.xlsx</x:v>
      </x:c>
    </x:row>
    <x:row r="10" ht="42" customHeight="1">
      <x:c r="A10" s="137" t="str">
        <x:v>Sumber file tambahan</x:v>
      </x:c>
      <x:c r="B10" s="138" t="str">
        <x:v>Della_FrozenMart_21Produk_Tambahan_Jan-Mei_2026.xlsx</x:v>
      </x:c>
    </x:row>
    <x:row r="11" ht="42" customHeight="1">
      <x:c r="A11" s="137" t="str">
        <x:v>Catatan penggunaan</x:v>
      </x:c>
      <x:c r="B11" s="138" t="str">
        <x:v>Untuk penelitian/studi kasus yang mensyaratkan data transaksi aktual, bagian data simulasi perlu diganti dengan data riil dan disclaimer ini tetap dicantumkan.</x:v>
      </x:c>
    </x:row>
  </x:sheetData>
  <x:mergeCells>
    <x:mergeCell ref="A1:B1"/>
  </x:mergeCells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FormatPr defaultRowHeight="15"/>
  <x:cols>
    <x:col min="1" max="1" width="6" hidden="0" customWidth="1"/>
    <x:col min="2" max="2" width="13" hidden="0" customWidth="1"/>
    <x:col min="3" max="3" width="11" hidden="0" customWidth="1"/>
    <x:col min="4" max="4" width="15" hidden="0" customWidth="1"/>
    <x:col min="5" max="5" width="15" hidden="0" customWidth="1"/>
    <x:col min="6" max="6" width="15" hidden="0" customWidth="1"/>
    <x:col min="7" max="7" width="15" hidden="0" customWidth="1"/>
    <x:col min="8" max="8" width="15" hidden="0" customWidth="1"/>
    <x:col min="9" max="9" width="15" hidden="0" customWidth="1"/>
    <x:col min="10" max="10" width="15" hidden="0" customWidth="1"/>
    <x:col min="11" max="11" width="15" hidden="0" customWidth="1"/>
    <x:col min="12" max="12" width="15" hidden="0" customWidth="1"/>
    <x:col min="13" max="13" width="15" hidden="0" customWidth="1"/>
    <x:col min="14" max="14" width="15" hidden="0" customWidth="1"/>
    <x:col min="15" max="15" width="15" hidden="0" customWidth="1"/>
    <x:col min="16" max="16" width="15" hidden="0" customWidth="1"/>
    <x:col min="17" max="17" width="15" hidden="0" customWidth="1"/>
    <x:col min="18" max="18" width="15" hidden="0" customWidth="1"/>
    <x:col min="19" max="19" width="15" hidden="0" customWidth="1"/>
    <x:col min="20" max="20" width="15" hidden="0" customWidth="1"/>
    <x:col min="21" max="21" width="15" hidden="0" customWidth="1"/>
    <x:col min="22" max="22" width="15" hidden="0" customWidth="1"/>
    <x:col min="23" max="23" width="15" hidden="0" customWidth="1"/>
    <x:col min="24" max="24" width="15" hidden="0" customWidth="1"/>
    <x:col min="25" max="25" width="15" hidden="0" customWidth="1"/>
    <x:col min="26" max="26" width="15" hidden="0" customWidth="1"/>
    <x:col min="27" max="27" width="15" hidden="0" customWidth="1"/>
    <x:col min="28" max="28" width="15" hidden="0" customWidth="1"/>
    <x:col min="29" max="29" width="15" hidden="0" customWidth="1"/>
    <x:col min="30" max="30" width="15" hidden="0" customWidth="1"/>
    <x:col min="31" max="31" width="15" hidden="0" customWidth="1"/>
    <x:col min="32" max="32" width="15" hidden="0" customWidth="1"/>
    <x:col min="33" max="33" width="15" hidden="0" customWidth="1"/>
    <x:col min="34" max="34" width="15" hidden="0" customWidth="1"/>
    <x:col min="35" max="35" width="13" hidden="0" customWidth="1"/>
    <x:col min="36" max="36" width="20" hidden="0" customWidth="1"/>
  </x:cols>
  <x:sheetData>
    <x:row r="1" ht="28" customHeight="1">
      <x:c r="A1" s="102" t="str">
        <x:v>DELLA FROZEN MART – DATA PENJUALAN HARIAN 31 PRODUK | JANUARI 2026</x:v>
      </x:c>
      <x:c r="B1" s="102"/>
      <x:c r="C1" s="102"/>
      <x:c r="D1" s="102"/>
      <x:c r="E1" s="102"/>
      <x:c r="F1" s="102"/>
      <x:c r="G1" s="102"/>
      <x:c r="H1" s="102"/>
      <x:c r="I1" s="102"/>
      <x:c r="J1" s="102"/>
      <x:c r="K1" s="102"/>
      <x:c r="L1" s="102"/>
      <x:c r="M1" s="102"/>
      <x:c r="N1" s="102"/>
      <x:c r="O1" s="102"/>
      <x:c r="P1" s="102"/>
      <x:c r="Q1" s="102"/>
      <x:c r="R1" s="102"/>
      <x:c r="S1" s="102"/>
      <x:c r="T1" s="102"/>
      <x:c r="U1" s="102"/>
      <x:c r="V1" s="102"/>
      <x:c r="W1" s="102"/>
      <x:c r="X1" s="102"/>
      <x:c r="Y1" s="102"/>
      <x:c r="Z1" s="102"/>
      <x:c r="AA1" s="102"/>
      <x:c r="AB1" s="102"/>
      <x:c r="AC1" s="102"/>
      <x:c r="AD1" s="102"/>
      <x:c r="AE1" s="102"/>
      <x:c r="AF1" s="102"/>
      <x:c r="AG1" s="102"/>
      <x:c r="AH1" s="102"/>
      <x:c r="AI1" s="102"/>
      <x:c r="AJ1" s="102"/>
    </x:row>
    <x:row r="2" ht="22" customHeight="1">
      <x:c r="A2" s="145" t="str">
        <x:v>Gabungan 10 produk data dasar dan 21 produk simulasi tambahan. Lihat sheet 'Metodologi &amp; Disclaimer'.</x:v>
      </x:c>
      <x:c r="B2" s="145"/>
      <x:c r="C2" s="145"/>
      <x:c r="D2" s="145"/>
      <x:c r="E2" s="145"/>
      <x:c r="F2" s="145"/>
      <x:c r="G2" s="145"/>
      <x:c r="H2" s="145"/>
      <x:c r="I2" s="145"/>
      <x:c r="J2" s="145"/>
      <x:c r="K2" s="145"/>
      <x:c r="L2" s="145"/>
      <x:c r="M2" s="145"/>
      <x:c r="N2" s="145"/>
      <x:c r="O2" s="145"/>
      <x:c r="P2" s="145"/>
      <x:c r="Q2" s="145"/>
      <x:c r="R2" s="145"/>
      <x:c r="S2" s="145"/>
      <x:c r="T2" s="145"/>
      <x:c r="U2" s="145"/>
      <x:c r="V2" s="145"/>
      <x:c r="W2" s="145"/>
      <x:c r="X2" s="145"/>
      <x:c r="Y2" s="145"/>
      <x:c r="Z2" s="145"/>
      <x:c r="AA2" s="145"/>
      <x:c r="AB2" s="145"/>
      <x:c r="AC2" s="145"/>
      <x:c r="AD2" s="145"/>
      <x:c r="AE2" s="145"/>
      <x:c r="AF2" s="145"/>
      <x:c r="AG2" s="145"/>
      <x:c r="AH2" s="145"/>
      <x:c r="AI2" s="145"/>
      <x:c r="AJ2" s="145"/>
    </x:row>
    <x:row r="3" ht="58" customHeight="1">
      <x:c r="A3" s="53" t="str">
        <x:v>No</x:v>
      </x:c>
      <x:c r="B3" s="53" t="str">
        <x:v>Tanggal</x:v>
      </x:c>
      <x:c r="C3" s="53" t="str">
        <x:v>Hari</x:v>
      </x:c>
      <x:c r="D3" s="156" t="str">
        <x:v>Okey Sosis 500GR</x:v>
      </x:c>
      <x:c r="E3" s="156" t="str">
        <x:v>Fiesta Chicken Nugget 450GR</x:v>
      </x:c>
      <x:c r="F3" s="156" t="str">
        <x:v>Jamur Enoki</x:v>
      </x:c>
      <x:c r="G3" s="156" t="str">
        <x:v>Meru Lapis Bogor</x:v>
      </x:c>
      <x:c r="H3" s="156" t="str">
        <x:v>Okey Nugget Stik 500GR</x:v>
      </x:c>
      <x:c r="I3" s="156" t="str">
        <x:v>Cireng Rujak</x:v>
      </x:c>
      <x:c r="J3" s="156" t="str">
        <x:v>Salam Nugget 500GR</x:v>
      </x:c>
      <x:c r="K3" s="156" t="str">
        <x:v>Warisan Isi 50</x:v>
      </x:c>
      <x:c r="L3" s="156" t="str">
        <x:v>Belfood Sosis Isi 30</x:v>
      </x:c>
      <x:c r="M3" s="156" t="str">
        <x:v>Richeese Nugget</x:v>
      </x:c>
      <x:c r="N3" s="166" t="str">
        <x:v>Nugget Ayam Original 500g</x:v>
      </x:c>
      <x:c r="O3" s="166" t="str">
        <x:v>Nugget Ayam Crispy 400g</x:v>
      </x:c>
      <x:c r="P3" s="166" t="str">
        <x:v>Champ Nugget Kombinasi 450GR</x:v>
      </x:c>
      <x:c r="Q3" s="166" t="str">
        <x:v>Chicken Nugget Stick 250g</x:v>
      </x:c>
      <x:c r="R3" s="166" t="str">
        <x:v>Chicken Nugget Stick 500g</x:v>
      </x:c>
      <x:c r="S3" s="166" t="str">
        <x:v>Bakso Soni</x:v>
      </x:c>
      <x:c r="T3" s="166" t="str">
        <x:v>Spicy Chicken Wings 500g</x:v>
      </x:c>
      <x:c r="U3" s="166" t="str">
        <x:v>Sosis Ayam Besar 360g</x:v>
      </x:c>
      <x:c r="V3" s="166" t="str">
        <x:v>Sosis Sapi Jumbo 500g</x:v>
      </x:c>
      <x:c r="W3" s="166" t="str">
        <x:v>Sosis Kanzler Beef 500g</x:v>
      </x:c>
      <x:c r="X3" s="166" t="str">
        <x:v>Sosis Kanzler Cheese 300g</x:v>
      </x:c>
      <x:c r="Y3" s="166" t="str">
        <x:v>Sosis Kanzler Cheese 500g</x:v>
      </x:c>
      <x:c r="Z3" s="166" t="str">
        <x:v>Bakso Sapi Jumbo 500g</x:v>
      </x:c>
      <x:c r="AA3" s="166" t="str">
        <x:v>Warisan Isi 25</x:v>
      </x:c>
      <x:c r="AB3" s="166" t="str">
        <x:v>Onion Ring Frozen 250g</x:v>
      </x:c>
      <x:c r="AC3" s="166" t="str">
        <x:v>Onion Ring Frozen 500g</x:v>
      </x:c>
      <x:c r="AD3" s="166" t="str">
        <x:v>Champ Sosis Sapi 375 gr</x:v>
      </x:c>
      <x:c r="AE3" s="166" t="str">
        <x:v>Sallam Nugget 250 gr</x:v>
      </x:c>
      <x:c r="AF3" s="166" t="str">
        <x:v>Sallam Bakso Sapi 500 gr</x:v>
      </x:c>
      <x:c r="AG3" s="166" t="str">
        <x:v>Fiesta Kentang 500 gr</x:v>
      </x:c>
      <x:c r="AH3" s="166" t="str">
        <x:v>Belfood Chicken Nugget 500gr</x:v>
      </x:c>
      <x:c r="AI3" s="28" t="str">
        <x:v>Total Qty</x:v>
      </x:c>
      <x:c r="AJ3" s="28" t="str">
        <x:v>Total Penjualan (Rp)</x:v>
      </x:c>
    </x:row>
    <x:row r="4" ht="18" customHeight="1">
      <x:c r="A4" s="178" t="n">
        <x:v>1</x:v>
      </x:c>
      <x:c r="B4" s="179" t="n">
        <x:v>46023</x:v>
      </x:c>
      <x:c r="C4" s="178" t="str">
        <x:v>Kamis</x:v>
      </x:c>
      <x:c r="D4" s="184" t="n">
        <x:v>0</x:v>
      </x:c>
      <x:c r="E4" s="184" t="n">
        <x:v>0</x:v>
      </x:c>
      <x:c r="F4" s="184" t="n">
        <x:v>0</x:v>
      </x:c>
      <x:c r="G4" s="184" t="n">
        <x:v>0</x:v>
      </x:c>
      <x:c r="H4" s="184" t="n">
        <x:v>0</x:v>
      </x:c>
      <x:c r="I4" s="184" t="n">
        <x:v>0</x:v>
      </x:c>
      <x:c r="J4" s="184" t="n">
        <x:v>0</x:v>
      </x:c>
      <x:c r="K4" s="184" t="n">
        <x:v>0</x:v>
      </x:c>
      <x:c r="L4" s="184" t="n">
        <x:v>0</x:v>
      </x:c>
      <x:c r="M4" s="184" t="n">
        <x:v>0</x:v>
      </x:c>
      <x:c r="N4" s="186" t="n">
        <x:v>30</x:v>
      </x:c>
      <x:c r="O4" s="186" t="n">
        <x:v>35</x:v>
      </x:c>
      <x:c r="P4" s="186" t="n">
        <x:v>30</x:v>
      </x:c>
      <x:c r="Q4" s="186" t="n">
        <x:v>30</x:v>
      </x:c>
      <x:c r="R4" s="186" t="n">
        <x:v>40</x:v>
      </x:c>
      <x:c r="S4" s="186" t="n">
        <x:v>40</x:v>
      </x:c>
      <x:c r="T4" s="186" t="n">
        <x:v>30</x:v>
      </x:c>
      <x:c r="U4" s="186" t="n">
        <x:v>30</x:v>
      </x:c>
      <x:c r="V4" s="186" t="n">
        <x:v>35</x:v>
      </x:c>
      <x:c r="W4" s="186" t="n">
        <x:v>35</x:v>
      </x:c>
      <x:c r="X4" s="186" t="n">
        <x:v>30</x:v>
      </x:c>
      <x:c r="Y4" s="186" t="n">
        <x:v>40</x:v>
      </x:c>
      <x:c r="Z4" s="186" t="n">
        <x:v>40</x:v>
      </x:c>
      <x:c r="AA4" s="186" t="n">
        <x:v>35</x:v>
      </x:c>
      <x:c r="AB4" s="186" t="n">
        <x:v>40</x:v>
      </x:c>
      <x:c r="AC4" s="186" t="n">
        <x:v>35</x:v>
      </x:c>
      <x:c r="AD4" s="186" t="n">
        <x:v>30</x:v>
      </x:c>
      <x:c r="AE4" s="186" t="n">
        <x:v>30</x:v>
      </x:c>
      <x:c r="AF4" s="186" t="n">
        <x:v>40</x:v>
      </x:c>
      <x:c r="AG4" s="186" t="n">
        <x:v>30</x:v>
      </x:c>
      <x:c r="AH4" s="186" t="n">
        <x:v>35</x:v>
      </x:c>
      <x:c r="AI4" s="188" t="n">
        <x:f>SUM(D4:AH4)</x:f>
        <x:v>720</x:v>
      </x:c>
      <x:c r="AJ4" s="196" t="n">
        <x:f>D4*'Daftar Produk &amp; Harga'!$C$4+E4*'Daftar Produk &amp; Harga'!$C$5+F4*'Daftar Produk &amp; Harga'!$C$6+G4*'Daftar Produk &amp; Harga'!$C$7+H4*'Daftar Produk &amp; Harga'!$C$8+I4*'Daftar Produk &amp; Harga'!$C$9+J4*'Daftar Produk &amp; Harga'!$C$10+K4*'Daftar Produk &amp; Harga'!$C$11+L4*'Daftar Produk &amp; Harga'!$C$12+M4*'Daftar Produk &amp; Harga'!$C$13+N4*'Daftar Produk &amp; Harga'!$C$14+O4*'Daftar Produk &amp; Harga'!$C$15+P4*'Daftar Produk &amp; Harga'!$C$16+Q4*'Daftar Produk &amp; Harga'!$C$17+R4*'Daftar Produk &amp; Harga'!$C$18+S4*'Daftar Produk &amp; Harga'!$C$19+T4*'Daftar Produk &amp; Harga'!$C$20+U4*'Daftar Produk &amp; Harga'!$C$21+V4*'Daftar Produk &amp; Harga'!$C$22+W4*'Daftar Produk &amp; Harga'!$C$23+X4*'Daftar Produk &amp; Harga'!$C$24+Y4*'Daftar Produk &amp; Harga'!$C$25+Z4*'Daftar Produk &amp; Harga'!$C$26+AA4*'Daftar Produk &amp; Harga'!$C$27+AB4*'Daftar Produk &amp; Harga'!$C$28+AC4*'Daftar Produk &amp; Harga'!$C$29+AD4*'Daftar Produk &amp; Harga'!$C$30+AE4*'Daftar Produk &amp; Harga'!$C$31+AF4*'Daftar Produk &amp; Harga'!$C$32+AG4*'Daftar Produk &amp; Harga'!$C$33+AH4*'Daftar Produk &amp; Harga'!$C$34</x:f>
        <x:v>23480000</x:v>
      </x:c>
    </x:row>
    <x:row r="5" ht="18" customHeight="1">
      <x:c r="A5" s="178" t="n">
        <x:v>2</x:v>
      </x:c>
      <x:c r="B5" s="179" t="n">
        <x:v>46024</x:v>
      </x:c>
      <x:c r="C5" s="178" t="str">
        <x:v>Jumat</x:v>
      </x:c>
      <x:c r="D5" s="184" t="n">
        <x:v>0</x:v>
      </x:c>
      <x:c r="E5" s="184" t="n">
        <x:v>0</x:v>
      </x:c>
      <x:c r="F5" s="184" t="n">
        <x:v>0</x:v>
      </x:c>
      <x:c r="G5" s="184" t="n">
        <x:v>0</x:v>
      </x:c>
      <x:c r="H5" s="184" t="n">
        <x:v>0</x:v>
      </x:c>
      <x:c r="I5" s="184" t="n">
        <x:v>0</x:v>
      </x:c>
      <x:c r="J5" s="184" t="n">
        <x:v>40</x:v>
      </x:c>
      <x:c r="K5" s="184" t="n">
        <x:v>0</x:v>
      </x:c>
      <x:c r="L5" s="184" t="n">
        <x:v>0</x:v>
      </x:c>
      <x:c r="M5" s="184" t="n">
        <x:v>0</x:v>
      </x:c>
      <x:c r="N5" s="186" t="n">
        <x:v>35</x:v>
      </x:c>
      <x:c r="O5" s="186" t="n">
        <x:v>30</x:v>
      </x:c>
      <x:c r="P5" s="186" t="n">
        <x:v>30</x:v>
      </x:c>
      <x:c r="Q5" s="186" t="n">
        <x:v>40</x:v>
      </x:c>
      <x:c r="R5" s="186" t="n">
        <x:v>30</x:v>
      </x:c>
      <x:c r="S5" s="186" t="n">
        <x:v>30</x:v>
      </x:c>
      <x:c r="T5" s="186" t="n">
        <x:v>35</x:v>
      </x:c>
      <x:c r="U5" s="186" t="n">
        <x:v>40</x:v>
      </x:c>
      <x:c r="V5" s="186" t="n">
        <x:v>40</x:v>
      </x:c>
      <x:c r="W5" s="186" t="n">
        <x:v>40</x:v>
      </x:c>
      <x:c r="X5" s="186" t="n">
        <x:v>35</x:v>
      </x:c>
      <x:c r="Y5" s="186" t="n">
        <x:v>40</x:v>
      </x:c>
      <x:c r="Z5" s="186" t="n">
        <x:v>35</x:v>
      </x:c>
      <x:c r="AA5" s="186" t="n">
        <x:v>35</x:v>
      </x:c>
      <x:c r="AB5" s="186" t="n">
        <x:v>30</x:v>
      </x:c>
      <x:c r="AC5" s="186" t="n">
        <x:v>40</x:v>
      </x:c>
      <x:c r="AD5" s="186" t="n">
        <x:v>40</x:v>
      </x:c>
      <x:c r="AE5" s="186" t="n">
        <x:v>30</x:v>
      </x:c>
      <x:c r="AF5" s="186" t="n">
        <x:v>40</x:v>
      </x:c>
      <x:c r="AG5" s="186" t="n">
        <x:v>40</x:v>
      </x:c>
      <x:c r="AH5" s="186" t="n">
        <x:v>40</x:v>
      </x:c>
      <x:c r="AI5" s="188" t="n">
        <x:f>SUM(D5:AH5)</x:f>
        <x:v>795</x:v>
      </x:c>
      <x:c r="AJ5" s="196" t="n">
        <x:f>D5*'Daftar Produk &amp; Harga'!$C$4+E5*'Daftar Produk &amp; Harga'!$C$5+F5*'Daftar Produk &amp; Harga'!$C$6+G5*'Daftar Produk &amp; Harga'!$C$7+H5*'Daftar Produk &amp; Harga'!$C$8+I5*'Daftar Produk &amp; Harga'!$C$9+J5*'Daftar Produk &amp; Harga'!$C$10+K5*'Daftar Produk &amp; Harga'!$C$11+L5*'Daftar Produk &amp; Harga'!$C$12+M5*'Daftar Produk &amp; Harga'!$C$13+N5*'Daftar Produk &amp; Harga'!$C$14+O5*'Daftar Produk &amp; Harga'!$C$15+P5*'Daftar Produk &amp; Harga'!$C$16+Q5*'Daftar Produk &amp; Harga'!$C$17+R5*'Daftar Produk &amp; Harga'!$C$18+S5*'Daftar Produk &amp; Harga'!$C$19+T5*'Daftar Produk &amp; Harga'!$C$20+U5*'Daftar Produk &amp; Harga'!$C$21+V5*'Daftar Produk &amp; Harga'!$C$22+W5*'Daftar Produk &amp; Harga'!$C$23+X5*'Daftar Produk &amp; Harga'!$C$24+Y5*'Daftar Produk &amp; Harga'!$C$25+Z5*'Daftar Produk &amp; Harga'!$C$26+AA5*'Daftar Produk &amp; Harga'!$C$27+AB5*'Daftar Produk &amp; Harga'!$C$28+AC5*'Daftar Produk &amp; Harga'!$C$29+AD5*'Daftar Produk &amp; Harga'!$C$30+AE5*'Daftar Produk &amp; Harga'!$C$31+AF5*'Daftar Produk &amp; Harga'!$C$32+AG5*'Daftar Produk &amp; Harga'!$C$33+AH5*'Daftar Produk &amp; Harga'!$C$34</x:f>
        <x:v>26010000</x:v>
      </x:c>
    </x:row>
    <x:row r="6" ht="18" customHeight="1">
      <x:c r="A6" s="178" t="n">
        <x:v>3</x:v>
      </x:c>
      <x:c r="B6" s="179" t="n">
        <x:v>46025</x:v>
      </x:c>
      <x:c r="C6" s="178" t="str">
        <x:v>Sabtu</x:v>
      </x:c>
      <x:c r="D6" s="184" t="n">
        <x:v>40</x:v>
      </x:c>
      <x:c r="E6" s="184" t="n">
        <x:v>0</x:v>
      </x:c>
      <x:c r="F6" s="184" t="n">
        <x:v>0</x:v>
      </x:c>
      <x:c r="G6" s="184" t="n">
        <x:v>0</x:v>
      </x:c>
      <x:c r="H6" s="184" t="n">
        <x:v>0</x:v>
      </x:c>
      <x:c r="I6" s="184" t="n">
        <x:v>0</x:v>
      </x:c>
      <x:c r="J6" s="184" t="n">
        <x:v>50</x:v>
      </x:c>
      <x:c r="K6" s="184" t="n">
        <x:v>0</x:v>
      </x:c>
      <x:c r="L6" s="184" t="n">
        <x:v>0</x:v>
      </x:c>
      <x:c r="M6" s="184" t="n">
        <x:v>0</x:v>
      </x:c>
      <x:c r="N6" s="186" t="n">
        <x:v>35</x:v>
      </x:c>
      <x:c r="O6" s="186" t="n">
        <x:v>45</x:v>
      </x:c>
      <x:c r="P6" s="186" t="n">
        <x:v>40</x:v>
      </x:c>
      <x:c r="Q6" s="186" t="n">
        <x:v>45</x:v>
      </x:c>
      <x:c r="R6" s="186" t="n">
        <x:v>50</x:v>
      </x:c>
      <x:c r="S6" s="186" t="n">
        <x:v>35</x:v>
      </x:c>
      <x:c r="T6" s="186" t="n">
        <x:v>35</x:v>
      </x:c>
      <x:c r="U6" s="186" t="n">
        <x:v>45</x:v>
      </x:c>
      <x:c r="V6" s="186" t="n">
        <x:v>45</x:v>
      </x:c>
      <x:c r="W6" s="186" t="n">
        <x:v>35</x:v>
      </x:c>
      <x:c r="X6" s="186" t="n">
        <x:v>45</x:v>
      </x:c>
      <x:c r="Y6" s="186" t="n">
        <x:v>40</x:v>
      </x:c>
      <x:c r="Z6" s="186" t="n">
        <x:v>35</x:v>
      </x:c>
      <x:c r="AA6" s="186" t="n">
        <x:v>50</x:v>
      </x:c>
      <x:c r="AB6" s="186" t="n">
        <x:v>50</x:v>
      </x:c>
      <x:c r="AC6" s="186" t="n">
        <x:v>45</x:v>
      </x:c>
      <x:c r="AD6" s="186" t="n">
        <x:v>40</x:v>
      </x:c>
      <x:c r="AE6" s="186" t="n">
        <x:v>50</x:v>
      </x:c>
      <x:c r="AF6" s="186" t="n">
        <x:v>35</x:v>
      </x:c>
      <x:c r="AG6" s="186" t="n">
        <x:v>45</x:v>
      </x:c>
      <x:c r="AH6" s="186" t="n">
        <x:v>50</x:v>
      </x:c>
      <x:c r="AI6" s="188" t="n">
        <x:f>SUM(D6:AH6)</x:f>
        <x:v>985</x:v>
      </x:c>
      <x:c r="AJ6" s="196" t="n">
        <x:f>D6*'Daftar Produk &amp; Harga'!$C$4+E6*'Daftar Produk &amp; Harga'!$C$5+F6*'Daftar Produk &amp; Harga'!$C$6+G6*'Daftar Produk &amp; Harga'!$C$7+H6*'Daftar Produk &amp; Harga'!$C$8+I6*'Daftar Produk &amp; Harga'!$C$9+J6*'Daftar Produk &amp; Harga'!$C$10+K6*'Daftar Produk &amp; Harga'!$C$11+L6*'Daftar Produk &amp; Harga'!$C$12+M6*'Daftar Produk &amp; Harga'!$C$13+N6*'Daftar Produk &amp; Harga'!$C$14+O6*'Daftar Produk &amp; Harga'!$C$15+P6*'Daftar Produk &amp; Harga'!$C$16+Q6*'Daftar Produk &amp; Harga'!$C$17+R6*'Daftar Produk &amp; Harga'!$C$18+S6*'Daftar Produk &amp; Harga'!$C$19+T6*'Daftar Produk &amp; Harga'!$C$20+U6*'Daftar Produk &amp; Harga'!$C$21+V6*'Daftar Produk &amp; Harga'!$C$22+W6*'Daftar Produk &amp; Harga'!$C$23+X6*'Daftar Produk &amp; Harga'!$C$24+Y6*'Daftar Produk &amp; Harga'!$C$25+Z6*'Daftar Produk &amp; Harga'!$C$26+AA6*'Daftar Produk &amp; Harga'!$C$27+AB6*'Daftar Produk &amp; Harga'!$C$28+AC6*'Daftar Produk &amp; Harga'!$C$29+AD6*'Daftar Produk &amp; Harga'!$C$30+AE6*'Daftar Produk &amp; Harga'!$C$31+AF6*'Daftar Produk &amp; Harga'!$C$32+AG6*'Daftar Produk &amp; Harga'!$C$33+AH6*'Daftar Produk &amp; Harga'!$C$34</x:f>
        <x:v>30785000</x:v>
      </x:c>
    </x:row>
    <x:row r="7" ht="18" customHeight="1">
      <x:c r="A7" s="178" t="n">
        <x:v>4</x:v>
      </x:c>
      <x:c r="B7" s="179" t="n">
        <x:v>46026</x:v>
      </x:c>
      <x:c r="C7" s="178" t="str">
        <x:v>Minggu</x:v>
      </x:c>
      <x:c r="D7" s="184" t="n">
        <x:v>40</x:v>
      </x:c>
      <x:c r="E7" s="184" t="n">
        <x:v>0</x:v>
      </x:c>
      <x:c r="F7" s="184" t="n">
        <x:v>0</x:v>
      </x:c>
      <x:c r="G7" s="184" t="n">
        <x:v>0</x:v>
      </x:c>
      <x:c r="H7" s="184" t="n">
        <x:v>40</x:v>
      </x:c>
      <x:c r="I7" s="184" t="n">
        <x:v>0</x:v>
      </x:c>
      <x:c r="J7" s="184" t="n">
        <x:v>50</x:v>
      </x:c>
      <x:c r="K7" s="184" t="n">
        <x:v>0</x:v>
      </x:c>
      <x:c r="L7" s="184" t="n">
        <x:v>0</x:v>
      </x:c>
      <x:c r="M7" s="184" t="n">
        <x:v>0</x:v>
      </x:c>
      <x:c r="N7" s="186" t="n">
        <x:v>45</x:v>
      </x:c>
      <x:c r="O7" s="186" t="n">
        <x:v>45</x:v>
      </x:c>
      <x:c r="P7" s="186" t="n">
        <x:v>35</x:v>
      </x:c>
      <x:c r="Q7" s="186" t="n">
        <x:v>40</x:v>
      </x:c>
      <x:c r="R7" s="186" t="n">
        <x:v>40</x:v>
      </x:c>
      <x:c r="S7" s="186" t="n">
        <x:v>45</x:v>
      </x:c>
      <x:c r="T7" s="186" t="n">
        <x:v>40</x:v>
      </x:c>
      <x:c r="U7" s="186" t="n">
        <x:v>50</x:v>
      </x:c>
      <x:c r="V7" s="186" t="n">
        <x:v>40</x:v>
      </x:c>
      <x:c r="W7" s="186" t="n">
        <x:v>45</x:v>
      </x:c>
      <x:c r="X7" s="186" t="n">
        <x:v>40</x:v>
      </x:c>
      <x:c r="Y7" s="186" t="n">
        <x:v>35</x:v>
      </x:c>
      <x:c r="Z7" s="186" t="n">
        <x:v>45</x:v>
      </x:c>
      <x:c r="AA7" s="186" t="n">
        <x:v>40</x:v>
      </x:c>
      <x:c r="AB7" s="186" t="n">
        <x:v>40</x:v>
      </x:c>
      <x:c r="AC7" s="186" t="n">
        <x:v>35</x:v>
      </x:c>
      <x:c r="AD7" s="186" t="n">
        <x:v>40</x:v>
      </x:c>
      <x:c r="AE7" s="186" t="n">
        <x:v>45</x:v>
      </x:c>
      <x:c r="AF7" s="186" t="n">
        <x:v>40</x:v>
      </x:c>
      <x:c r="AG7" s="186" t="n">
        <x:v>40</x:v>
      </x:c>
      <x:c r="AH7" s="186" t="n">
        <x:v>45</x:v>
      </x:c>
      <x:c r="AI7" s="188" t="n">
        <x:f>SUM(D7:AH7)</x:f>
        <x:v>1000</x:v>
      </x:c>
      <x:c r="AJ7" s="196" t="n">
        <x:f>D7*'Daftar Produk &amp; Harga'!$C$4+E7*'Daftar Produk &amp; Harga'!$C$5+F7*'Daftar Produk &amp; Harga'!$C$6+G7*'Daftar Produk &amp; Harga'!$C$7+H7*'Daftar Produk &amp; Harga'!$C$8+I7*'Daftar Produk &amp; Harga'!$C$9+J7*'Daftar Produk &amp; Harga'!$C$10+K7*'Daftar Produk &amp; Harga'!$C$11+L7*'Daftar Produk &amp; Harga'!$C$12+M7*'Daftar Produk &amp; Harga'!$C$13+N7*'Daftar Produk &amp; Harga'!$C$14+O7*'Daftar Produk &amp; Harga'!$C$15+P7*'Daftar Produk &amp; Harga'!$C$16+Q7*'Daftar Produk &amp; Harga'!$C$17+R7*'Daftar Produk &amp; Harga'!$C$18+S7*'Daftar Produk &amp; Harga'!$C$19+T7*'Daftar Produk &amp; Harga'!$C$20+U7*'Daftar Produk &amp; Harga'!$C$21+V7*'Daftar Produk &amp; Harga'!$C$22+W7*'Daftar Produk &amp; Harga'!$C$23+X7*'Daftar Produk &amp; Harga'!$C$24+Y7*'Daftar Produk &amp; Harga'!$C$25+Z7*'Daftar Produk &amp; Harga'!$C$26+AA7*'Daftar Produk &amp; Harga'!$C$27+AB7*'Daftar Produk &amp; Harga'!$C$28+AC7*'Daftar Produk &amp; Harga'!$C$29+AD7*'Daftar Produk &amp; Harga'!$C$30+AE7*'Daftar Produk &amp; Harga'!$C$31+AF7*'Daftar Produk &amp; Harga'!$C$32+AG7*'Daftar Produk &amp; Harga'!$C$33+AH7*'Daftar Produk &amp; Harga'!$C$34</x:f>
        <x:v>31995000</x:v>
      </x:c>
    </x:row>
    <x:row r="8" ht="18" customHeight="1">
      <x:c r="A8" s="178" t="n">
        <x:v>5</x:v>
      </x:c>
      <x:c r="B8" s="179" t="n">
        <x:v>46027</x:v>
      </x:c>
      <x:c r="C8" s="178" t="str">
        <x:v>Senin</x:v>
      </x:c>
      <x:c r="D8" s="184" t="n">
        <x:v>50</x:v>
      </x:c>
      <x:c r="E8" s="184" t="n">
        <x:v>0</x:v>
      </x:c>
      <x:c r="F8" s="184" t="n">
        <x:v>40</x:v>
      </x:c>
      <x:c r="G8" s="184" t="n">
        <x:v>0</x:v>
      </x:c>
      <x:c r="H8" s="184" t="n">
        <x:v>40</x:v>
      </x:c>
      <x:c r="I8" s="184" t="n">
        <x:v>0</x:v>
      </x:c>
      <x:c r="J8" s="184" t="n">
        <x:v>50</x:v>
      </x:c>
      <x:c r="K8" s="184" t="n">
        <x:v>0</x:v>
      </x:c>
      <x:c r="L8" s="184" t="n">
        <x:v>0</x:v>
      </x:c>
      <x:c r="M8" s="184" t="n">
        <x:v>40</x:v>
      </x:c>
      <x:c r="N8" s="186" t="n">
        <x:v>40</x:v>
      </x:c>
      <x:c r="O8" s="186" t="n">
        <x:v>40</x:v>
      </x:c>
      <x:c r="P8" s="186" t="n">
        <x:v>30</x:v>
      </x:c>
      <x:c r="Q8" s="186" t="n">
        <x:v>40</x:v>
      </x:c>
      <x:c r="R8" s="186" t="n">
        <x:v>30</x:v>
      </x:c>
      <x:c r="S8" s="186" t="n">
        <x:v>35</x:v>
      </x:c>
      <x:c r="T8" s="186" t="n">
        <x:v>30</x:v>
      </x:c>
      <x:c r="U8" s="186" t="n">
        <x:v>40</x:v>
      </x:c>
      <x:c r="V8" s="186" t="n">
        <x:v>40</x:v>
      </x:c>
      <x:c r="W8" s="186" t="n">
        <x:v>30</x:v>
      </x:c>
      <x:c r="X8" s="186" t="n">
        <x:v>30</x:v>
      </x:c>
      <x:c r="Y8" s="186" t="n">
        <x:v>35</x:v>
      </x:c>
      <x:c r="Z8" s="186" t="n">
        <x:v>40</x:v>
      </x:c>
      <x:c r="AA8" s="186" t="n">
        <x:v>35</x:v>
      </x:c>
      <x:c r="AB8" s="186" t="n">
        <x:v>40</x:v>
      </x:c>
      <x:c r="AC8" s="186" t="n">
        <x:v>40</x:v>
      </x:c>
      <x:c r="AD8" s="186" t="n">
        <x:v>30</x:v>
      </x:c>
      <x:c r="AE8" s="186" t="n">
        <x:v>30</x:v>
      </x:c>
      <x:c r="AF8" s="186" t="n">
        <x:v>35</x:v>
      </x:c>
      <x:c r="AG8" s="186" t="n">
        <x:v>40</x:v>
      </x:c>
      <x:c r="AH8" s="186" t="n">
        <x:v>40</x:v>
      </x:c>
      <x:c r="AI8" s="188" t="n">
        <x:f>SUM(D8:AH8)</x:f>
        <x:v>970</x:v>
      </x:c>
      <x:c r="AJ8" s="196" t="n">
        <x:f>D8*'Daftar Produk &amp; Harga'!$C$4+E8*'Daftar Produk &amp; Harga'!$C$5+F8*'Daftar Produk &amp; Harga'!$C$6+G8*'Daftar Produk &amp; Harga'!$C$7+H8*'Daftar Produk &amp; Harga'!$C$8+I8*'Daftar Produk &amp; Harga'!$C$9+J8*'Daftar Produk &amp; Harga'!$C$10+K8*'Daftar Produk &amp; Harga'!$C$11+L8*'Daftar Produk &amp; Harga'!$C$12+M8*'Daftar Produk &amp; Harga'!$C$13+N8*'Daftar Produk &amp; Harga'!$C$14+O8*'Daftar Produk &amp; Harga'!$C$15+P8*'Daftar Produk &amp; Harga'!$C$16+Q8*'Daftar Produk &amp; Harga'!$C$17+R8*'Daftar Produk &amp; Harga'!$C$18+S8*'Daftar Produk &amp; Harga'!$C$19+T8*'Daftar Produk &amp; Harga'!$C$20+U8*'Daftar Produk &amp; Harga'!$C$21+V8*'Daftar Produk &amp; Harga'!$C$22+W8*'Daftar Produk &amp; Harga'!$C$23+X8*'Daftar Produk &amp; Harga'!$C$24+Y8*'Daftar Produk &amp; Harga'!$C$25+Z8*'Daftar Produk &amp; Harga'!$C$26+AA8*'Daftar Produk &amp; Harga'!$C$27+AB8*'Daftar Produk &amp; Harga'!$C$28+AC8*'Daftar Produk &amp; Harga'!$C$29+AD8*'Daftar Produk &amp; Harga'!$C$30+AE8*'Daftar Produk &amp; Harga'!$C$31+AF8*'Daftar Produk &amp; Harga'!$C$32+AG8*'Daftar Produk &amp; Harga'!$C$33+AH8*'Daftar Produk &amp; Harga'!$C$34</x:f>
        <x:v>30065000</x:v>
      </x:c>
    </x:row>
    <x:row r="9" ht="18" customHeight="1">
      <x:c r="A9" s="178" t="n">
        <x:v>6</x:v>
      </x:c>
      <x:c r="B9" s="179" t="n">
        <x:v>46028</x:v>
      </x:c>
      <x:c r="C9" s="178" t="str">
        <x:v>Selasa</x:v>
      </x:c>
      <x:c r="D9" s="184" t="n">
        <x:v>50</x:v>
      </x:c>
      <x:c r="E9" s="184" t="n">
        <x:v>40</x:v>
      </x:c>
      <x:c r="F9" s="184" t="n">
        <x:v>50</x:v>
      </x:c>
      <x:c r="G9" s="184" t="n">
        <x:v>0</x:v>
      </x:c>
      <x:c r="H9" s="184" t="n">
        <x:v>40</x:v>
      </x:c>
      <x:c r="I9" s="184" t="n">
        <x:v>0</x:v>
      </x:c>
      <x:c r="J9" s="184" t="n">
        <x:v>0</x:v>
      </x:c>
      <x:c r="K9" s="184" t="n">
        <x:v>0</x:v>
      </x:c>
      <x:c r="L9" s="184" t="n">
        <x:v>0</x:v>
      </x:c>
      <x:c r="M9" s="184" t="n">
        <x:v>40</x:v>
      </x:c>
      <x:c r="N9" s="186" t="n">
        <x:v>30</x:v>
      </x:c>
      <x:c r="O9" s="186" t="n">
        <x:v>40</x:v>
      </x:c>
      <x:c r="P9" s="186" t="n">
        <x:v>40</x:v>
      </x:c>
      <x:c r="Q9" s="186" t="n">
        <x:v>35</x:v>
      </x:c>
      <x:c r="R9" s="186" t="n">
        <x:v>40</x:v>
      </x:c>
      <x:c r="S9" s="186" t="n">
        <x:v>40</x:v>
      </x:c>
      <x:c r="T9" s="186" t="n">
        <x:v>35</x:v>
      </x:c>
      <x:c r="U9" s="186" t="n">
        <x:v>30</x:v>
      </x:c>
      <x:c r="V9" s="186" t="n">
        <x:v>35</x:v>
      </x:c>
      <x:c r="W9" s="186" t="n">
        <x:v>30</x:v>
      </x:c>
      <x:c r="X9" s="186" t="n">
        <x:v>35</x:v>
      </x:c>
      <x:c r="Y9" s="186" t="n">
        <x:v>35</x:v>
      </x:c>
      <x:c r="Z9" s="186" t="n">
        <x:v>35</x:v>
      </x:c>
      <x:c r="AA9" s="186" t="n">
        <x:v>30</x:v>
      </x:c>
      <x:c r="AB9" s="186" t="n">
        <x:v>40</x:v>
      </x:c>
      <x:c r="AC9" s="186" t="n">
        <x:v>35</x:v>
      </x:c>
      <x:c r="AD9" s="186" t="n">
        <x:v>35</x:v>
      </x:c>
      <x:c r="AE9" s="186" t="n">
        <x:v>40</x:v>
      </x:c>
      <x:c r="AF9" s="186" t="n">
        <x:v>30</x:v>
      </x:c>
      <x:c r="AG9" s="186" t="n">
        <x:v>35</x:v>
      </x:c>
      <x:c r="AH9" s="186" t="n">
        <x:v>30</x:v>
      </x:c>
      <x:c r="AI9" s="188" t="n">
        <x:f>SUM(D9:AH9)</x:f>
        <x:v>955</x:v>
      </x:c>
      <x:c r="AJ9" s="196" t="n">
        <x:f>D9*'Daftar Produk &amp; Harga'!$C$4+E9*'Daftar Produk &amp; Harga'!$C$5+F9*'Daftar Produk &amp; Harga'!$C$6+G9*'Daftar Produk &amp; Harga'!$C$7+H9*'Daftar Produk &amp; Harga'!$C$8+I9*'Daftar Produk &amp; Harga'!$C$9+J9*'Daftar Produk &amp; Harga'!$C$10+K9*'Daftar Produk &amp; Harga'!$C$11+L9*'Daftar Produk &amp; Harga'!$C$12+M9*'Daftar Produk &amp; Harga'!$C$13+N9*'Daftar Produk &amp; Harga'!$C$14+O9*'Daftar Produk &amp; Harga'!$C$15+P9*'Daftar Produk &amp; Harga'!$C$16+Q9*'Daftar Produk &amp; Harga'!$C$17+R9*'Daftar Produk &amp; Harga'!$C$18+S9*'Daftar Produk &amp; Harga'!$C$19+T9*'Daftar Produk &amp; Harga'!$C$20+U9*'Daftar Produk &amp; Harga'!$C$21+V9*'Daftar Produk &amp; Harga'!$C$22+W9*'Daftar Produk &amp; Harga'!$C$23+X9*'Daftar Produk &amp; Harga'!$C$24+Y9*'Daftar Produk &amp; Harga'!$C$25+Z9*'Daftar Produk &amp; Harga'!$C$26+AA9*'Daftar Produk &amp; Harga'!$C$27+AB9*'Daftar Produk &amp; Harga'!$C$28+AC9*'Daftar Produk &amp; Harga'!$C$29+AD9*'Daftar Produk &amp; Harga'!$C$30+AE9*'Daftar Produk &amp; Harga'!$C$31+AF9*'Daftar Produk &amp; Harga'!$C$32+AG9*'Daftar Produk &amp; Harga'!$C$33+AH9*'Daftar Produk &amp; Harga'!$C$34</x:f>
        <x:v>29505000</x:v>
      </x:c>
    </x:row>
    <x:row r="10" ht="18" customHeight="1">
      <x:c r="A10" s="178" t="n">
        <x:v>7</x:v>
      </x:c>
      <x:c r="B10" s="179" t="n">
        <x:v>46029</x:v>
      </x:c>
      <x:c r="C10" s="178" t="str">
        <x:v>Rabu</x:v>
      </x:c>
      <x:c r="D10" s="184" t="n">
        <x:v>0</x:v>
      </x:c>
      <x:c r="E10" s="184" t="n">
        <x:v>45</x:v>
      </x:c>
      <x:c r="F10" s="184" t="n">
        <x:v>50</x:v>
      </x:c>
      <x:c r="G10" s="184" t="n">
        <x:v>0</x:v>
      </x:c>
      <x:c r="H10" s="184" t="n">
        <x:v>50</x:v>
      </x:c>
      <x:c r="I10" s="184" t="n">
        <x:v>40</x:v>
      </x:c>
      <x:c r="J10" s="184" t="n">
        <x:v>0</x:v>
      </x:c>
      <x:c r="K10" s="184" t="n">
        <x:v>0</x:v>
      </x:c>
      <x:c r="L10" s="184" t="n">
        <x:v>0</x:v>
      </x:c>
      <x:c r="M10" s="184" t="n">
        <x:v>40</x:v>
      </x:c>
      <x:c r="N10" s="186" t="n">
        <x:v>40</x:v>
      </x:c>
      <x:c r="O10" s="186" t="n">
        <x:v>40</x:v>
      </x:c>
      <x:c r="P10" s="186" t="n">
        <x:v>35</x:v>
      </x:c>
      <x:c r="Q10" s="186" t="n">
        <x:v>35</x:v>
      </x:c>
      <x:c r="R10" s="186" t="n">
        <x:v>35</x:v>
      </x:c>
      <x:c r="S10" s="186" t="n">
        <x:v>40</x:v>
      </x:c>
      <x:c r="T10" s="186" t="n">
        <x:v>35</x:v>
      </x:c>
      <x:c r="U10" s="186" t="n">
        <x:v>35</x:v>
      </x:c>
      <x:c r="V10" s="186" t="n">
        <x:v>40</x:v>
      </x:c>
      <x:c r="W10" s="186" t="n">
        <x:v>30</x:v>
      </x:c>
      <x:c r="X10" s="186" t="n">
        <x:v>40</x:v>
      </x:c>
      <x:c r="Y10" s="186" t="n">
        <x:v>30</x:v>
      </x:c>
      <x:c r="Z10" s="186" t="n">
        <x:v>35</x:v>
      </x:c>
      <x:c r="AA10" s="186" t="n">
        <x:v>40</x:v>
      </x:c>
      <x:c r="AB10" s="186" t="n">
        <x:v>40</x:v>
      </x:c>
      <x:c r="AC10" s="186" t="n">
        <x:v>40</x:v>
      </x:c>
      <x:c r="AD10" s="186" t="n">
        <x:v>40</x:v>
      </x:c>
      <x:c r="AE10" s="186" t="n">
        <x:v>30</x:v>
      </x:c>
      <x:c r="AF10" s="186" t="n">
        <x:v>40</x:v>
      </x:c>
      <x:c r="AG10" s="186" t="n">
        <x:v>35</x:v>
      </x:c>
      <x:c r="AH10" s="186" t="n">
        <x:v>30</x:v>
      </x:c>
      <x:c r="AI10" s="188" t="n">
        <x:f>SUM(D10:AH10)</x:f>
        <x:v>990</x:v>
      </x:c>
      <x:c r="AJ10" s="196" t="n">
        <x:f>D10*'Daftar Produk &amp; Harga'!$C$4+E10*'Daftar Produk &amp; Harga'!$C$5+F10*'Daftar Produk &amp; Harga'!$C$6+G10*'Daftar Produk &amp; Harga'!$C$7+H10*'Daftar Produk &amp; Harga'!$C$8+I10*'Daftar Produk &amp; Harga'!$C$9+J10*'Daftar Produk &amp; Harga'!$C$10+K10*'Daftar Produk &amp; Harga'!$C$11+L10*'Daftar Produk &amp; Harga'!$C$12+M10*'Daftar Produk &amp; Harga'!$C$13+N10*'Daftar Produk &amp; Harga'!$C$14+O10*'Daftar Produk &amp; Harga'!$C$15+P10*'Daftar Produk &amp; Harga'!$C$16+Q10*'Daftar Produk &amp; Harga'!$C$17+R10*'Daftar Produk &amp; Harga'!$C$18+S10*'Daftar Produk &amp; Harga'!$C$19+T10*'Daftar Produk &amp; Harga'!$C$20+U10*'Daftar Produk &amp; Harga'!$C$21+V10*'Daftar Produk &amp; Harga'!$C$22+W10*'Daftar Produk &amp; Harga'!$C$23+X10*'Daftar Produk &amp; Harga'!$C$24+Y10*'Daftar Produk &amp; Harga'!$C$25+Z10*'Daftar Produk &amp; Harga'!$C$26+AA10*'Daftar Produk &amp; Harga'!$C$27+AB10*'Daftar Produk &amp; Harga'!$C$28+AC10*'Daftar Produk &amp; Harga'!$C$29+AD10*'Daftar Produk &amp; Harga'!$C$30+AE10*'Daftar Produk &amp; Harga'!$C$31+AF10*'Daftar Produk &amp; Harga'!$C$32+AG10*'Daftar Produk &amp; Harga'!$C$33+AH10*'Daftar Produk &amp; Harga'!$C$34</x:f>
        <x:v>31075000</x:v>
      </x:c>
    </x:row>
    <x:row r="11" ht="18" customHeight="1">
      <x:c r="A11" s="178" t="n">
        <x:v>8</x:v>
      </x:c>
      <x:c r="B11" s="179" t="n">
        <x:v>46030</x:v>
      </x:c>
      <x:c r="C11" s="178" t="str">
        <x:v>Kamis</x:v>
      </x:c>
      <x:c r="D11" s="184" t="n">
        <x:v>0</x:v>
      </x:c>
      <x:c r="E11" s="184" t="n">
        <x:v>50</x:v>
      </x:c>
      <x:c r="F11" s="184" t="n">
        <x:v>0</x:v>
      </x:c>
      <x:c r="G11" s="184" t="n">
        <x:v>40</x:v>
      </x:c>
      <x:c r="H11" s="184" t="n">
        <x:v>0</x:v>
      </x:c>
      <x:c r="I11" s="184" t="n">
        <x:v>40</x:v>
      </x:c>
      <x:c r="J11" s="184" t="n">
        <x:v>0</x:v>
      </x:c>
      <x:c r="K11" s="184" t="n">
        <x:v>0</x:v>
      </x:c>
      <x:c r="L11" s="184" t="n">
        <x:v>0</x:v>
      </x:c>
      <x:c r="M11" s="184" t="n">
        <x:v>40</x:v>
      </x:c>
      <x:c r="N11" s="186" t="n">
        <x:v>35</x:v>
      </x:c>
      <x:c r="O11" s="186" t="n">
        <x:v>40</x:v>
      </x:c>
      <x:c r="P11" s="186" t="n">
        <x:v>40</x:v>
      </x:c>
      <x:c r="Q11" s="186" t="n">
        <x:v>30</x:v>
      </x:c>
      <x:c r="R11" s="186" t="n">
        <x:v>35</x:v>
      </x:c>
      <x:c r="S11" s="186" t="n">
        <x:v>35</x:v>
      </x:c>
      <x:c r="T11" s="186" t="n">
        <x:v>40</x:v>
      </x:c>
      <x:c r="U11" s="186" t="n">
        <x:v>40</x:v>
      </x:c>
      <x:c r="V11" s="186" t="n">
        <x:v>30</x:v>
      </x:c>
      <x:c r="W11" s="186" t="n">
        <x:v>30</x:v>
      </x:c>
      <x:c r="X11" s="186" t="n">
        <x:v>35</x:v>
      </x:c>
      <x:c r="Y11" s="186" t="n">
        <x:v>40</x:v>
      </x:c>
      <x:c r="Z11" s="186" t="n">
        <x:v>35</x:v>
      </x:c>
      <x:c r="AA11" s="186" t="n">
        <x:v>40</x:v>
      </x:c>
      <x:c r="AB11" s="186" t="n">
        <x:v>30</x:v>
      </x:c>
      <x:c r="AC11" s="186" t="n">
        <x:v>40</x:v>
      </x:c>
      <x:c r="AD11" s="186" t="n">
        <x:v>40</x:v>
      </x:c>
      <x:c r="AE11" s="186" t="n">
        <x:v>35</x:v>
      </x:c>
      <x:c r="AF11" s="186" t="n">
        <x:v>35</x:v>
      </x:c>
      <x:c r="AG11" s="186" t="n">
        <x:v>30</x:v>
      </x:c>
      <x:c r="AH11" s="186" t="n">
        <x:v>30</x:v>
      </x:c>
      <x:c r="AI11" s="188" t="n">
        <x:f>SUM(D11:AH11)</x:f>
        <x:v>915</x:v>
      </x:c>
      <x:c r="AJ11" s="196" t="n">
        <x:f>D11*'Daftar Produk &amp; Harga'!$C$4+E11*'Daftar Produk &amp; Harga'!$C$5+F11*'Daftar Produk &amp; Harga'!$C$6+G11*'Daftar Produk &amp; Harga'!$C$7+H11*'Daftar Produk &amp; Harga'!$C$8+I11*'Daftar Produk &amp; Harga'!$C$9+J11*'Daftar Produk &amp; Harga'!$C$10+K11*'Daftar Produk &amp; Harga'!$C$11+L11*'Daftar Produk &amp; Harga'!$C$12+M11*'Daftar Produk &amp; Harga'!$C$13+N11*'Daftar Produk &amp; Harga'!$C$14+O11*'Daftar Produk &amp; Harga'!$C$15+P11*'Daftar Produk &amp; Harga'!$C$16+Q11*'Daftar Produk &amp; Harga'!$C$17+R11*'Daftar Produk &amp; Harga'!$C$18+S11*'Daftar Produk &amp; Harga'!$C$19+T11*'Daftar Produk &amp; Harga'!$C$20+U11*'Daftar Produk &amp; Harga'!$C$21+V11*'Daftar Produk &amp; Harga'!$C$22+W11*'Daftar Produk &amp; Harga'!$C$23+X11*'Daftar Produk &amp; Harga'!$C$24+Y11*'Daftar Produk &amp; Harga'!$C$25+Z11*'Daftar Produk &amp; Harga'!$C$26+AA11*'Daftar Produk &amp; Harga'!$C$27+AB11*'Daftar Produk &amp; Harga'!$C$28+AC11*'Daftar Produk &amp; Harga'!$C$29+AD11*'Daftar Produk &amp; Harga'!$C$30+AE11*'Daftar Produk &amp; Harga'!$C$31+AF11*'Daftar Produk &amp; Harga'!$C$32+AG11*'Daftar Produk &amp; Harga'!$C$33+AH11*'Daftar Produk &amp; Harga'!$C$34</x:f>
        <x:v>30395000</x:v>
      </x:c>
    </x:row>
    <x:row r="12" ht="18" customHeight="1">
      <x:c r="A12" s="178" t="n">
        <x:v>9</x:v>
      </x:c>
      <x:c r="B12" s="179" t="n">
        <x:v>46031</x:v>
      </x:c>
      <x:c r="C12" s="178" t="str">
        <x:v>Jumat</x:v>
      </x:c>
      <x:c r="D12" s="184" t="n">
        <x:v>0</x:v>
      </x:c>
      <x:c r="E12" s="184" t="n">
        <x:v>50</x:v>
      </x:c>
      <x:c r="F12" s="184" t="n">
        <x:v>0</x:v>
      </x:c>
      <x:c r="G12" s="184" t="n">
        <x:v>50</x:v>
      </x:c>
      <x:c r="H12" s="184" t="n">
        <x:v>0</x:v>
      </x:c>
      <x:c r="I12" s="184" t="n">
        <x:v>45</x:v>
      </x:c>
      <x:c r="J12" s="184" t="n">
        <x:v>0</x:v>
      </x:c>
      <x:c r="K12" s="184" t="n">
        <x:v>40</x:v>
      </x:c>
      <x:c r="L12" s="184" t="n">
        <x:v>0</x:v>
      </x:c>
      <x:c r="M12" s="184" t="n">
        <x:v>50</x:v>
      </x:c>
      <x:c r="N12" s="186" t="n">
        <x:v>40</x:v>
      </x:c>
      <x:c r="O12" s="186" t="n">
        <x:v>30</x:v>
      </x:c>
      <x:c r="P12" s="186" t="n">
        <x:v>30</x:v>
      </x:c>
      <x:c r="Q12" s="186" t="n">
        <x:v>40</x:v>
      </x:c>
      <x:c r="R12" s="186" t="n">
        <x:v>40</x:v>
      </x:c>
      <x:c r="S12" s="186" t="n">
        <x:v>35</x:v>
      </x:c>
      <x:c r="T12" s="186" t="n">
        <x:v>40</x:v>
      </x:c>
      <x:c r="U12" s="186" t="n">
        <x:v>40</x:v>
      </x:c>
      <x:c r="V12" s="186" t="n">
        <x:v>40</x:v>
      </x:c>
      <x:c r="W12" s="186" t="n">
        <x:v>40</x:v>
      </x:c>
      <x:c r="X12" s="186" t="n">
        <x:v>35</x:v>
      </x:c>
      <x:c r="Y12" s="186" t="n">
        <x:v>40</x:v>
      </x:c>
      <x:c r="Z12" s="186" t="n">
        <x:v>35</x:v>
      </x:c>
      <x:c r="AA12" s="186" t="n">
        <x:v>30</x:v>
      </x:c>
      <x:c r="AB12" s="186" t="n">
        <x:v>35</x:v>
      </x:c>
      <x:c r="AC12" s="186" t="n">
        <x:v>40</x:v>
      </x:c>
      <x:c r="AD12" s="186" t="n">
        <x:v>35</x:v>
      </x:c>
      <x:c r="AE12" s="186" t="n">
        <x:v>40</x:v>
      </x:c>
      <x:c r="AF12" s="186" t="n">
        <x:v>30</x:v>
      </x:c>
      <x:c r="AG12" s="186" t="n">
        <x:v>40</x:v>
      </x:c>
      <x:c r="AH12" s="186" t="n">
        <x:v>35</x:v>
      </x:c>
      <x:c r="AI12" s="188" t="n">
        <x:f>SUM(D12:AH12)</x:f>
        <x:v>1005</x:v>
      </x:c>
      <x:c r="AJ12" s="196" t="n">
        <x:f>D12*'Daftar Produk &amp; Harga'!$C$4+E12*'Daftar Produk &amp; Harga'!$C$5+F12*'Daftar Produk &amp; Harga'!$C$6+G12*'Daftar Produk &amp; Harga'!$C$7+H12*'Daftar Produk &amp; Harga'!$C$8+I12*'Daftar Produk &amp; Harga'!$C$9+J12*'Daftar Produk &amp; Harga'!$C$10+K12*'Daftar Produk &amp; Harga'!$C$11+L12*'Daftar Produk &amp; Harga'!$C$12+M12*'Daftar Produk &amp; Harga'!$C$13+N12*'Daftar Produk &amp; Harga'!$C$14+O12*'Daftar Produk &amp; Harga'!$C$15+P12*'Daftar Produk &amp; Harga'!$C$16+Q12*'Daftar Produk &amp; Harga'!$C$17+R12*'Daftar Produk &amp; Harga'!$C$18+S12*'Daftar Produk &amp; Harga'!$C$19+T12*'Daftar Produk &amp; Harga'!$C$20+U12*'Daftar Produk &amp; Harga'!$C$21+V12*'Daftar Produk &amp; Harga'!$C$22+W12*'Daftar Produk &amp; Harga'!$C$23+X12*'Daftar Produk &amp; Harga'!$C$24+Y12*'Daftar Produk &amp; Harga'!$C$25+Z12*'Daftar Produk &amp; Harga'!$C$26+AA12*'Daftar Produk &amp; Harga'!$C$27+AB12*'Daftar Produk &amp; Harga'!$C$28+AC12*'Daftar Produk &amp; Harga'!$C$29+AD12*'Daftar Produk &amp; Harga'!$C$30+AE12*'Daftar Produk &amp; Harga'!$C$31+AF12*'Daftar Produk &amp; Harga'!$C$32+AG12*'Daftar Produk &amp; Harga'!$C$33+AH12*'Daftar Produk &amp; Harga'!$C$34</x:f>
        <x:v>34445000</x:v>
      </x:c>
    </x:row>
    <x:row r="13" ht="18" customHeight="1">
      <x:c r="A13" s="178" t="n">
        <x:v>10</x:v>
      </x:c>
      <x:c r="B13" s="179" t="n">
        <x:v>46032</x:v>
      </x:c>
      <x:c r="C13" s="178" t="str">
        <x:v>Sabtu</x:v>
      </x:c>
      <x:c r="D13" s="184" t="n">
        <x:v>0</x:v>
      </x:c>
      <x:c r="E13" s="184" t="n">
        <x:v>0</x:v>
      </x:c>
      <x:c r="F13" s="184" t="n">
        <x:v>0</x:v>
      </x:c>
      <x:c r="G13" s="184" t="n">
        <x:v>0</x:v>
      </x:c>
      <x:c r="H13" s="184" t="n">
        <x:v>0</x:v>
      </x:c>
      <x:c r="I13" s="184" t="n">
        <x:v>50</x:v>
      </x:c>
      <x:c r="J13" s="184" t="n">
        <x:v>0</x:v>
      </x:c>
      <x:c r="K13" s="184" t="n">
        <x:v>40</x:v>
      </x:c>
      <x:c r="L13" s="184" t="n">
        <x:v>40</x:v>
      </x:c>
      <x:c r="M13" s="184" t="n">
        <x:v>0</x:v>
      </x:c>
      <x:c r="N13" s="186" t="n">
        <x:v>40</x:v>
      </x:c>
      <x:c r="O13" s="186" t="n">
        <x:v>50</x:v>
      </x:c>
      <x:c r="P13" s="186" t="n">
        <x:v>40</x:v>
      </x:c>
      <x:c r="Q13" s="186" t="n">
        <x:v>50</x:v>
      </x:c>
      <x:c r="R13" s="186" t="n">
        <x:v>40</x:v>
      </x:c>
      <x:c r="S13" s="186" t="n">
        <x:v>35</x:v>
      </x:c>
      <x:c r="T13" s="186" t="n">
        <x:v>35</x:v>
      </x:c>
      <x:c r="U13" s="186" t="n">
        <x:v>50</x:v>
      </x:c>
      <x:c r="V13" s="186" t="n">
        <x:v>45</x:v>
      </x:c>
      <x:c r="W13" s="186" t="n">
        <x:v>45</x:v>
      </x:c>
      <x:c r="X13" s="186" t="n">
        <x:v>50</x:v>
      </x:c>
      <x:c r="Y13" s="186" t="n">
        <x:v>45</x:v>
      </x:c>
      <x:c r="Z13" s="186" t="n">
        <x:v>40</x:v>
      </x:c>
      <x:c r="AA13" s="186" t="n">
        <x:v>45</x:v>
      </x:c>
      <x:c r="AB13" s="186" t="n">
        <x:v>45</x:v>
      </x:c>
      <x:c r="AC13" s="186" t="n">
        <x:v>45</x:v>
      </x:c>
      <x:c r="AD13" s="186" t="n">
        <x:v>40</x:v>
      </x:c>
      <x:c r="AE13" s="186" t="n">
        <x:v>45</x:v>
      </x:c>
      <x:c r="AF13" s="186" t="n">
        <x:v>40</x:v>
      </x:c>
      <x:c r="AG13" s="186" t="n">
        <x:v>45</x:v>
      </x:c>
      <x:c r="AH13" s="186" t="n">
        <x:v>45</x:v>
      </x:c>
      <x:c r="AI13" s="188" t="n">
        <x:f>SUM(D13:AH13)</x:f>
        <x:v>1045</x:v>
      </x:c>
      <x:c r="AJ13" s="196" t="n">
        <x:f>D13*'Daftar Produk &amp; Harga'!$C$4+E13*'Daftar Produk &amp; Harga'!$C$5+F13*'Daftar Produk &amp; Harga'!$C$6+G13*'Daftar Produk &amp; Harga'!$C$7+H13*'Daftar Produk &amp; Harga'!$C$8+I13*'Daftar Produk &amp; Harga'!$C$9+J13*'Daftar Produk &amp; Harga'!$C$10+K13*'Daftar Produk &amp; Harga'!$C$11+L13*'Daftar Produk &amp; Harga'!$C$12+M13*'Daftar Produk &amp; Harga'!$C$13+N13*'Daftar Produk &amp; Harga'!$C$14+O13*'Daftar Produk &amp; Harga'!$C$15+P13*'Daftar Produk &amp; Harga'!$C$16+Q13*'Daftar Produk &amp; Harga'!$C$17+R13*'Daftar Produk &amp; Harga'!$C$18+S13*'Daftar Produk &amp; Harga'!$C$19+T13*'Daftar Produk &amp; Harga'!$C$20+U13*'Daftar Produk &amp; Harga'!$C$21+V13*'Daftar Produk &amp; Harga'!$C$22+W13*'Daftar Produk &amp; Harga'!$C$23+X13*'Daftar Produk &amp; Harga'!$C$24+Y13*'Daftar Produk &amp; Harga'!$C$25+Z13*'Daftar Produk &amp; Harga'!$C$26+AA13*'Daftar Produk &amp; Harga'!$C$27+AB13*'Daftar Produk &amp; Harga'!$C$28+AC13*'Daftar Produk &amp; Harga'!$C$29+AD13*'Daftar Produk &amp; Harga'!$C$30+AE13*'Daftar Produk &amp; Harga'!$C$31+AF13*'Daftar Produk &amp; Harga'!$C$32+AG13*'Daftar Produk &amp; Harga'!$C$33+AH13*'Daftar Produk &amp; Harga'!$C$34</x:f>
        <x:v>34845000</x:v>
      </x:c>
    </x:row>
    <x:row r="14" ht="18" customHeight="1">
      <x:c r="A14" s="178" t="n">
        <x:v>11</x:v>
      </x:c>
      <x:c r="B14" s="179" t="n">
        <x:v>46033</x:v>
      </x:c>
      <x:c r="C14" s="178" t="str">
        <x:v>Minggu</x:v>
      </x:c>
      <x:c r="D14" s="184" t="n">
        <x:v>0</x:v>
      </x:c>
      <x:c r="E14" s="184" t="n">
        <x:v>0</x:v>
      </x:c>
      <x:c r="F14" s="184" t="n">
        <x:v>0</x:v>
      </x:c>
      <x:c r="G14" s="184" t="n">
        <x:v>0</x:v>
      </x:c>
      <x:c r="H14" s="184" t="n">
        <x:v>0</x:v>
      </x:c>
      <x:c r="I14" s="184" t="n">
        <x:v>0</x:v>
      </x:c>
      <x:c r="J14" s="184" t="n">
        <x:v>0</x:v>
      </x:c>
      <x:c r="K14" s="184" t="n">
        <x:v>40</x:v>
      </x:c>
      <x:c r="L14" s="184" t="n">
        <x:v>40</x:v>
      </x:c>
      <x:c r="M14" s="184" t="n">
        <x:v>0</x:v>
      </x:c>
      <x:c r="N14" s="186" t="n">
        <x:v>45</x:v>
      </x:c>
      <x:c r="O14" s="186" t="n">
        <x:v>45</x:v>
      </x:c>
      <x:c r="P14" s="186" t="n">
        <x:v>50</x:v>
      </x:c>
      <x:c r="Q14" s="186" t="n">
        <x:v>35</x:v>
      </x:c>
      <x:c r="R14" s="186" t="n">
        <x:v>45</x:v>
      </x:c>
      <x:c r="S14" s="186" t="n">
        <x:v>45</x:v>
      </x:c>
      <x:c r="T14" s="186" t="n">
        <x:v>40</x:v>
      </x:c>
      <x:c r="U14" s="186" t="n">
        <x:v>40</x:v>
      </x:c>
      <x:c r="V14" s="186" t="n">
        <x:v>40</x:v>
      </x:c>
      <x:c r="W14" s="186" t="n">
        <x:v>45</x:v>
      </x:c>
      <x:c r="X14" s="186" t="n">
        <x:v>40</x:v>
      </x:c>
      <x:c r="Y14" s="186" t="n">
        <x:v>50</x:v>
      </x:c>
      <x:c r="Z14" s="186" t="n">
        <x:v>45</x:v>
      </x:c>
      <x:c r="AA14" s="186" t="n">
        <x:v>50</x:v>
      </x:c>
      <x:c r="AB14" s="186" t="n">
        <x:v>40</x:v>
      </x:c>
      <x:c r="AC14" s="186" t="n">
        <x:v>45</x:v>
      </x:c>
      <x:c r="AD14" s="186" t="n">
        <x:v>50</x:v>
      </x:c>
      <x:c r="AE14" s="186" t="n">
        <x:v>45</x:v>
      </x:c>
      <x:c r="AF14" s="186" t="n">
        <x:v>40</x:v>
      </x:c>
      <x:c r="AG14" s="186" t="n">
        <x:v>40</x:v>
      </x:c>
      <x:c r="AH14" s="186" t="n">
        <x:v>45</x:v>
      </x:c>
      <x:c r="AI14" s="188" t="n">
        <x:f>SUM(D14:AH14)</x:f>
        <x:v>1000</x:v>
      </x:c>
      <x:c r="AJ14" s="196" t="n">
        <x:f>D14*'Daftar Produk &amp; Harga'!$C$4+E14*'Daftar Produk &amp; Harga'!$C$5+F14*'Daftar Produk &amp; Harga'!$C$6+G14*'Daftar Produk &amp; Harga'!$C$7+H14*'Daftar Produk &amp; Harga'!$C$8+I14*'Daftar Produk &amp; Harga'!$C$9+J14*'Daftar Produk &amp; Harga'!$C$10+K14*'Daftar Produk &amp; Harga'!$C$11+L14*'Daftar Produk &amp; Harga'!$C$12+M14*'Daftar Produk &amp; Harga'!$C$13+N14*'Daftar Produk &amp; Harga'!$C$14+O14*'Daftar Produk &amp; Harga'!$C$15+P14*'Daftar Produk &amp; Harga'!$C$16+Q14*'Daftar Produk &amp; Harga'!$C$17+R14*'Daftar Produk &amp; Harga'!$C$18+S14*'Daftar Produk &amp; Harga'!$C$19+T14*'Daftar Produk &amp; Harga'!$C$20+U14*'Daftar Produk &amp; Harga'!$C$21+V14*'Daftar Produk &amp; Harga'!$C$22+W14*'Daftar Produk &amp; Harga'!$C$23+X14*'Daftar Produk &amp; Harga'!$C$24+Y14*'Daftar Produk &amp; Harga'!$C$25+Z14*'Daftar Produk &amp; Harga'!$C$26+AA14*'Daftar Produk &amp; Harga'!$C$27+AB14*'Daftar Produk &amp; Harga'!$C$28+AC14*'Daftar Produk &amp; Harga'!$C$29+AD14*'Daftar Produk &amp; Harga'!$C$30+AE14*'Daftar Produk &amp; Harga'!$C$31+AF14*'Daftar Produk &amp; Harga'!$C$32+AG14*'Daftar Produk &amp; Harga'!$C$33+AH14*'Daftar Produk &amp; Harga'!$C$34</x:f>
        <x:v>34480000</x:v>
      </x:c>
    </x:row>
    <x:row r="15" ht="18" customHeight="1">
      <x:c r="A15" s="178" t="n">
        <x:v>12</x:v>
      </x:c>
      <x:c r="B15" s="179" t="n">
        <x:v>46034</x:v>
      </x:c>
      <x:c r="C15" s="178" t="str">
        <x:v>Senin</x:v>
      </x:c>
      <x:c r="D15" s="184" t="n">
        <x:v>0</x:v>
      </x:c>
      <x:c r="E15" s="184" t="n">
        <x:v>0</x:v>
      </x:c>
      <x:c r="F15" s="184" t="n">
        <x:v>0</x:v>
      </x:c>
      <x:c r="G15" s="184" t="n">
        <x:v>0</x:v>
      </x:c>
      <x:c r="H15" s="184" t="n">
        <x:v>0</x:v>
      </x:c>
      <x:c r="I15" s="184" t="n">
        <x:v>0</x:v>
      </x:c>
      <x:c r="J15" s="184" t="n">
        <x:v>0</x:v>
      </x:c>
      <x:c r="K15" s="184" t="n">
        <x:v>40</x:v>
      </x:c>
      <x:c r="L15" s="184" t="n">
        <x:v>50</x:v>
      </x:c>
      <x:c r="M15" s="184" t="n">
        <x:v>0</x:v>
      </x:c>
      <x:c r="N15" s="186" t="n">
        <x:v>30</x:v>
      </x:c>
      <x:c r="O15" s="186" t="n">
        <x:v>35</x:v>
      </x:c>
      <x:c r="P15" s="186" t="n">
        <x:v>30</x:v>
      </x:c>
      <x:c r="Q15" s="186" t="n">
        <x:v>40</x:v>
      </x:c>
      <x:c r="R15" s="186" t="n">
        <x:v>30</x:v>
      </x:c>
      <x:c r="S15" s="186" t="n">
        <x:v>30</x:v>
      </x:c>
      <x:c r="T15" s="186" t="n">
        <x:v>30</x:v>
      </x:c>
      <x:c r="U15" s="186" t="n">
        <x:v>30</x:v>
      </x:c>
      <x:c r="V15" s="186" t="n">
        <x:v>30</x:v>
      </x:c>
      <x:c r="W15" s="186" t="n">
        <x:v>30</x:v>
      </x:c>
      <x:c r="X15" s="186" t="n">
        <x:v>30</x:v>
      </x:c>
      <x:c r="Y15" s="186" t="n">
        <x:v>30</x:v>
      </x:c>
      <x:c r="Z15" s="186" t="n">
        <x:v>35</x:v>
      </x:c>
      <x:c r="AA15" s="186" t="n">
        <x:v>40</x:v>
      </x:c>
      <x:c r="AB15" s="186" t="n">
        <x:v>30</x:v>
      </x:c>
      <x:c r="AC15" s="186" t="n">
        <x:v>35</x:v>
      </x:c>
      <x:c r="AD15" s="186" t="n">
        <x:v>30</x:v>
      </x:c>
      <x:c r="AE15" s="186" t="n">
        <x:v>35</x:v>
      </x:c>
      <x:c r="AF15" s="186" t="n">
        <x:v>35</x:v>
      </x:c>
      <x:c r="AG15" s="186" t="n">
        <x:v>40</x:v>
      </x:c>
      <x:c r="AH15" s="186" t="n">
        <x:v>40</x:v>
      </x:c>
      <x:c r="AI15" s="188" t="n">
        <x:f>SUM(D15:AH15)</x:f>
        <x:v>785</x:v>
      </x:c>
      <x:c r="AJ15" s="196" t="n">
        <x:f>D15*'Daftar Produk &amp; Harga'!$C$4+E15*'Daftar Produk &amp; Harga'!$C$5+F15*'Daftar Produk &amp; Harga'!$C$6+G15*'Daftar Produk &amp; Harga'!$C$7+H15*'Daftar Produk &amp; Harga'!$C$8+I15*'Daftar Produk &amp; Harga'!$C$9+J15*'Daftar Produk &amp; Harga'!$C$10+K15*'Daftar Produk &amp; Harga'!$C$11+L15*'Daftar Produk &amp; Harga'!$C$12+M15*'Daftar Produk &amp; Harga'!$C$13+N15*'Daftar Produk &amp; Harga'!$C$14+O15*'Daftar Produk &amp; Harga'!$C$15+P15*'Daftar Produk &amp; Harga'!$C$16+Q15*'Daftar Produk &amp; Harga'!$C$17+R15*'Daftar Produk &amp; Harga'!$C$18+S15*'Daftar Produk &amp; Harga'!$C$19+T15*'Daftar Produk &amp; Harga'!$C$20+U15*'Daftar Produk &amp; Harga'!$C$21+V15*'Daftar Produk &amp; Harga'!$C$22+W15*'Daftar Produk &amp; Harga'!$C$23+X15*'Daftar Produk &amp; Harga'!$C$24+Y15*'Daftar Produk &amp; Harga'!$C$25+Z15*'Daftar Produk &amp; Harga'!$C$26+AA15*'Daftar Produk &amp; Harga'!$C$27+AB15*'Daftar Produk &amp; Harga'!$C$28+AC15*'Daftar Produk &amp; Harga'!$C$29+AD15*'Daftar Produk &amp; Harga'!$C$30+AE15*'Daftar Produk &amp; Harga'!$C$31+AF15*'Daftar Produk &amp; Harga'!$C$32+AG15*'Daftar Produk &amp; Harga'!$C$33+AH15*'Daftar Produk &amp; Harga'!$C$34</x:f>
        <x:v>26895000</x:v>
      </x:c>
    </x:row>
    <x:row r="16" ht="18" customHeight="1">
      <x:c r="A16" s="178" t="n">
        <x:v>13</x:v>
      </x:c>
      <x:c r="B16" s="179" t="n">
        <x:v>46035</x:v>
      </x:c>
      <x:c r="C16" s="178" t="str">
        <x:v>Selasa</x:v>
      </x:c>
      <x:c r="D16" s="184" t="n">
        <x:v>0</x:v>
      </x:c>
      <x:c r="E16" s="184" t="n">
        <x:v>0</x:v>
      </x:c>
      <x:c r="F16" s="184" t="n">
        <x:v>0</x:v>
      </x:c>
      <x:c r="G16" s="184" t="n">
        <x:v>0</x:v>
      </x:c>
      <x:c r="H16" s="184" t="n">
        <x:v>0</x:v>
      </x:c>
      <x:c r="I16" s="184" t="n">
        <x:v>0</x:v>
      </x:c>
      <x:c r="J16" s="184" t="n">
        <x:v>0</x:v>
      </x:c>
      <x:c r="K16" s="184" t="n">
        <x:v>50</x:v>
      </x:c>
      <x:c r="L16" s="184" t="n">
        <x:v>0</x:v>
      </x:c>
      <x:c r="M16" s="184" t="n">
        <x:v>0</x:v>
      </x:c>
      <x:c r="N16" s="186" t="n">
        <x:v>40</x:v>
      </x:c>
      <x:c r="O16" s="186" t="n">
        <x:v>35</x:v>
      </x:c>
      <x:c r="P16" s="186" t="n">
        <x:v>35</x:v>
      </x:c>
      <x:c r="Q16" s="186" t="n">
        <x:v>40</x:v>
      </x:c>
      <x:c r="R16" s="186" t="n">
        <x:v>35</x:v>
      </x:c>
      <x:c r="S16" s="186" t="n">
        <x:v>40</x:v>
      </x:c>
      <x:c r="T16" s="186" t="n">
        <x:v>30</x:v>
      </x:c>
      <x:c r="U16" s="186" t="n">
        <x:v>40</x:v>
      </x:c>
      <x:c r="V16" s="186" t="n">
        <x:v>35</x:v>
      </x:c>
      <x:c r="W16" s="186" t="n">
        <x:v>35</x:v>
      </x:c>
      <x:c r="X16" s="186" t="n">
        <x:v>30</x:v>
      </x:c>
      <x:c r="Y16" s="186" t="n">
        <x:v>40</x:v>
      </x:c>
      <x:c r="Z16" s="186" t="n">
        <x:v>35</x:v>
      </x:c>
      <x:c r="AA16" s="186" t="n">
        <x:v>30</x:v>
      </x:c>
      <x:c r="AB16" s="186" t="n">
        <x:v>40</x:v>
      </x:c>
      <x:c r="AC16" s="186" t="n">
        <x:v>35</x:v>
      </x:c>
      <x:c r="AD16" s="186" t="n">
        <x:v>30</x:v>
      </x:c>
      <x:c r="AE16" s="186" t="n">
        <x:v>40</x:v>
      </x:c>
      <x:c r="AF16" s="186" t="n">
        <x:v>35</x:v>
      </x:c>
      <x:c r="AG16" s="186" t="n">
        <x:v>30</x:v>
      </x:c>
      <x:c r="AH16" s="186" t="n">
        <x:v>40</x:v>
      </x:c>
      <x:c r="AI16" s="188" t="n">
        <x:f>SUM(D16:AH16)</x:f>
        <x:v>800</x:v>
      </x:c>
      <x:c r="AJ16" s="196" t="n">
        <x:f>D16*'Daftar Produk &amp; Harga'!$C$4+E16*'Daftar Produk &amp; Harga'!$C$5+F16*'Daftar Produk &amp; Harga'!$C$6+G16*'Daftar Produk &amp; Harga'!$C$7+H16*'Daftar Produk &amp; Harga'!$C$8+I16*'Daftar Produk &amp; Harga'!$C$9+J16*'Daftar Produk &amp; Harga'!$C$10+K16*'Daftar Produk &amp; Harga'!$C$11+L16*'Daftar Produk &amp; Harga'!$C$12+M16*'Daftar Produk &amp; Harga'!$C$13+N16*'Daftar Produk &amp; Harga'!$C$14+O16*'Daftar Produk &amp; Harga'!$C$15+P16*'Daftar Produk &amp; Harga'!$C$16+Q16*'Daftar Produk &amp; Harga'!$C$17+R16*'Daftar Produk &amp; Harga'!$C$18+S16*'Daftar Produk &amp; Harga'!$C$19+T16*'Daftar Produk &amp; Harga'!$C$20+U16*'Daftar Produk &amp; Harga'!$C$21+V16*'Daftar Produk &amp; Harga'!$C$22+W16*'Daftar Produk &amp; Harga'!$C$23+X16*'Daftar Produk &amp; Harga'!$C$24+Y16*'Daftar Produk &amp; Harga'!$C$25+Z16*'Daftar Produk &amp; Harga'!$C$26+AA16*'Daftar Produk &amp; Harga'!$C$27+AB16*'Daftar Produk &amp; Harga'!$C$28+AC16*'Daftar Produk &amp; Harga'!$C$29+AD16*'Daftar Produk &amp; Harga'!$C$30+AE16*'Daftar Produk &amp; Harga'!$C$31+AF16*'Daftar Produk &amp; Harga'!$C$32+AG16*'Daftar Produk &amp; Harga'!$C$33+AH16*'Daftar Produk &amp; Harga'!$C$34</x:f>
        <x:v>27435000</x:v>
      </x:c>
    </x:row>
    <x:row r="17" ht="18" customHeight="1">
      <x:c r="A17" s="178" t="n">
        <x:v>14</x:v>
      </x:c>
      <x:c r="B17" s="179" t="n">
        <x:v>46036</x:v>
      </x:c>
      <x:c r="C17" s="178" t="str">
        <x:v>Rabu</x:v>
      </x:c>
      <x:c r="D17" s="184" t="n">
        <x:v>45</x:v>
      </x:c>
      <x:c r="E17" s="184" t="n">
        <x:v>0</x:v>
      </x:c>
      <x:c r="F17" s="184" t="n">
        <x:v>0</x:v>
      </x:c>
      <x:c r="G17" s="184" t="n">
        <x:v>0</x:v>
      </x:c>
      <x:c r="H17" s="184" t="n">
        <x:v>0</x:v>
      </x:c>
      <x:c r="I17" s="184" t="n">
        <x:v>0</x:v>
      </x:c>
      <x:c r="J17" s="184" t="n">
        <x:v>0</x:v>
      </x:c>
      <x:c r="K17" s="184" t="n">
        <x:v>50</x:v>
      </x:c>
      <x:c r="L17" s="184" t="n">
        <x:v>0</x:v>
      </x:c>
      <x:c r="M17" s="184" t="n">
        <x:v>0</x:v>
      </x:c>
      <x:c r="N17" s="186" t="n">
        <x:v>30</x:v>
      </x:c>
      <x:c r="O17" s="186" t="n">
        <x:v>35</x:v>
      </x:c>
      <x:c r="P17" s="186" t="n">
        <x:v>30</x:v>
      </x:c>
      <x:c r="Q17" s="186" t="n">
        <x:v>30</x:v>
      </x:c>
      <x:c r="R17" s="186" t="n">
        <x:v>40</x:v>
      </x:c>
      <x:c r="S17" s="186" t="n">
        <x:v>35</x:v>
      </x:c>
      <x:c r="T17" s="186" t="n">
        <x:v>30</x:v>
      </x:c>
      <x:c r="U17" s="186" t="n">
        <x:v>35</x:v>
      </x:c>
      <x:c r="V17" s="186" t="n">
        <x:v>40</x:v>
      </x:c>
      <x:c r="W17" s="186" t="n">
        <x:v>30</x:v>
      </x:c>
      <x:c r="X17" s="186" t="n">
        <x:v>40</x:v>
      </x:c>
      <x:c r="Y17" s="186" t="n">
        <x:v>40</x:v>
      </x:c>
      <x:c r="Z17" s="186" t="n">
        <x:v>30</x:v>
      </x:c>
      <x:c r="AA17" s="186" t="n">
        <x:v>30</x:v>
      </x:c>
      <x:c r="AB17" s="186" t="n">
        <x:v>40</x:v>
      </x:c>
      <x:c r="AC17" s="186" t="n">
        <x:v>40</x:v>
      </x:c>
      <x:c r="AD17" s="186" t="n">
        <x:v>40</x:v>
      </x:c>
      <x:c r="AE17" s="186" t="n">
        <x:v>30</x:v>
      </x:c>
      <x:c r="AF17" s="186" t="n">
        <x:v>30</x:v>
      </x:c>
      <x:c r="AG17" s="186" t="n">
        <x:v>35</x:v>
      </x:c>
      <x:c r="AH17" s="186" t="n">
        <x:v>30</x:v>
      </x:c>
      <x:c r="AI17" s="188" t="n">
        <x:f>SUM(D17:AH17)</x:f>
        <x:v>815</x:v>
      </x:c>
      <x:c r="AJ17" s="196" t="n">
        <x:f>D17*'Daftar Produk &amp; Harga'!$C$4+E17*'Daftar Produk &amp; Harga'!$C$5+F17*'Daftar Produk &amp; Harga'!$C$6+G17*'Daftar Produk &amp; Harga'!$C$7+H17*'Daftar Produk &amp; Harga'!$C$8+I17*'Daftar Produk &amp; Harga'!$C$9+J17*'Daftar Produk &amp; Harga'!$C$10+K17*'Daftar Produk &amp; Harga'!$C$11+L17*'Daftar Produk &amp; Harga'!$C$12+M17*'Daftar Produk &amp; Harga'!$C$13+N17*'Daftar Produk &amp; Harga'!$C$14+O17*'Daftar Produk &amp; Harga'!$C$15+P17*'Daftar Produk &amp; Harga'!$C$16+Q17*'Daftar Produk &amp; Harga'!$C$17+R17*'Daftar Produk &amp; Harga'!$C$18+S17*'Daftar Produk &amp; Harga'!$C$19+T17*'Daftar Produk &amp; Harga'!$C$20+U17*'Daftar Produk &amp; Harga'!$C$21+V17*'Daftar Produk &amp; Harga'!$C$22+W17*'Daftar Produk &amp; Harga'!$C$23+X17*'Daftar Produk &amp; Harga'!$C$24+Y17*'Daftar Produk &amp; Harga'!$C$25+Z17*'Daftar Produk &amp; Harga'!$C$26+AA17*'Daftar Produk &amp; Harga'!$C$27+AB17*'Daftar Produk &amp; Harga'!$C$28+AC17*'Daftar Produk &amp; Harga'!$C$29+AD17*'Daftar Produk &amp; Harga'!$C$30+AE17*'Daftar Produk &amp; Harga'!$C$31+AF17*'Daftar Produk &amp; Harga'!$C$32+AG17*'Daftar Produk &amp; Harga'!$C$33+AH17*'Daftar Produk &amp; Harga'!$C$34</x:f>
        <x:v>27320000</x:v>
      </x:c>
    </x:row>
    <x:row r="18" ht="18" customHeight="1">
      <x:c r="A18" s="178" t="n">
        <x:v>15</x:v>
      </x:c>
      <x:c r="B18" s="179" t="n">
        <x:v>46037</x:v>
      </x:c>
      <x:c r="C18" s="178" t="str">
        <x:v>Kamis</x:v>
      </x:c>
      <x:c r="D18" s="184" t="n">
        <x:v>50</x:v>
      </x:c>
      <x:c r="E18" s="184" t="n">
        <x:v>0</x:v>
      </x:c>
      <x:c r="F18" s="184" t="n">
        <x:v>0</x:v>
      </x:c>
      <x:c r="G18" s="184" t="n">
        <x:v>0</x:v>
      </x:c>
      <x:c r="H18" s="184" t="n">
        <x:v>0</x:v>
      </x:c>
      <x:c r="I18" s="184" t="n">
        <x:v>0</x:v>
      </x:c>
      <x:c r="J18" s="184" t="n">
        <x:v>40</x:v>
      </x:c>
      <x:c r="K18" s="184" t="n">
        <x:v>0</x:v>
      </x:c>
      <x:c r="L18" s="184" t="n">
        <x:v>0</x:v>
      </x:c>
      <x:c r="M18" s="184" t="n">
        <x:v>0</x:v>
      </x:c>
      <x:c r="N18" s="186" t="n">
        <x:v>40</x:v>
      </x:c>
      <x:c r="O18" s="186" t="n">
        <x:v>35</x:v>
      </x:c>
      <x:c r="P18" s="186" t="n">
        <x:v>30</x:v>
      </x:c>
      <x:c r="Q18" s="186" t="n">
        <x:v>30</x:v>
      </x:c>
      <x:c r="R18" s="186" t="n">
        <x:v>35</x:v>
      </x:c>
      <x:c r="S18" s="186" t="n">
        <x:v>30</x:v>
      </x:c>
      <x:c r="T18" s="186" t="n">
        <x:v>40</x:v>
      </x:c>
      <x:c r="U18" s="186" t="n">
        <x:v>40</x:v>
      </x:c>
      <x:c r="V18" s="186" t="n">
        <x:v>35</x:v>
      </x:c>
      <x:c r="W18" s="186" t="n">
        <x:v>40</x:v>
      </x:c>
      <x:c r="X18" s="186" t="n">
        <x:v>40</x:v>
      </x:c>
      <x:c r="Y18" s="186" t="n">
        <x:v>30</x:v>
      </x:c>
      <x:c r="Z18" s="186" t="n">
        <x:v>40</x:v>
      </x:c>
      <x:c r="AA18" s="186" t="n">
        <x:v>30</x:v>
      </x:c>
      <x:c r="AB18" s="186" t="n">
        <x:v>40</x:v>
      </x:c>
      <x:c r="AC18" s="186" t="n">
        <x:v>30</x:v>
      </x:c>
      <x:c r="AD18" s="186" t="n">
        <x:v>30</x:v>
      </x:c>
      <x:c r="AE18" s="186" t="n">
        <x:v>30</x:v>
      </x:c>
      <x:c r="AF18" s="186" t="n">
        <x:v>40</x:v>
      </x:c>
      <x:c r="AG18" s="186" t="n">
        <x:v>35</x:v>
      </x:c>
      <x:c r="AH18" s="186" t="n">
        <x:v>40</x:v>
      </x:c>
      <x:c r="AI18" s="188" t="n">
        <x:f>SUM(D18:AH18)</x:f>
        <x:v>830</x:v>
      </x:c>
      <x:c r="AJ18" s="196" t="n">
        <x:f>D18*'Daftar Produk &amp; Harga'!$C$4+E18*'Daftar Produk &amp; Harga'!$C$5+F18*'Daftar Produk &amp; Harga'!$C$6+G18*'Daftar Produk &amp; Harga'!$C$7+H18*'Daftar Produk &amp; Harga'!$C$8+I18*'Daftar Produk &amp; Harga'!$C$9+J18*'Daftar Produk &amp; Harga'!$C$10+K18*'Daftar Produk &amp; Harga'!$C$11+L18*'Daftar Produk &amp; Harga'!$C$12+M18*'Daftar Produk &amp; Harga'!$C$13+N18*'Daftar Produk &amp; Harga'!$C$14+O18*'Daftar Produk &amp; Harga'!$C$15+P18*'Daftar Produk &amp; Harga'!$C$16+Q18*'Daftar Produk &amp; Harga'!$C$17+R18*'Daftar Produk &amp; Harga'!$C$18+S18*'Daftar Produk &amp; Harga'!$C$19+T18*'Daftar Produk &amp; Harga'!$C$20+U18*'Daftar Produk &amp; Harga'!$C$21+V18*'Daftar Produk &amp; Harga'!$C$22+W18*'Daftar Produk &amp; Harga'!$C$23+X18*'Daftar Produk &amp; Harga'!$C$24+Y18*'Daftar Produk &amp; Harga'!$C$25+Z18*'Daftar Produk &amp; Harga'!$C$26+AA18*'Daftar Produk &amp; Harga'!$C$27+AB18*'Daftar Produk &amp; Harga'!$C$28+AC18*'Daftar Produk &amp; Harga'!$C$29+AD18*'Daftar Produk &amp; Harga'!$C$30+AE18*'Daftar Produk &amp; Harga'!$C$31+AF18*'Daftar Produk &amp; Harga'!$C$32+AG18*'Daftar Produk &amp; Harga'!$C$33+AH18*'Daftar Produk &amp; Harga'!$C$34</x:f>
        <x:v>26510000</x:v>
      </x:c>
    </x:row>
    <x:row r="19" ht="18" customHeight="1">
      <x:c r="A19" s="178" t="n">
        <x:v>16</x:v>
      </x:c>
      <x:c r="B19" s="179" t="n">
        <x:v>46038</x:v>
      </x:c>
      <x:c r="C19" s="178" t="str">
        <x:v>Jumat</x:v>
      </x:c>
      <x:c r="D19" s="184" t="n">
        <x:v>50</x:v>
      </x:c>
      <x:c r="E19" s="184" t="n">
        <x:v>0</x:v>
      </x:c>
      <x:c r="F19" s="184" t="n">
        <x:v>50</x:v>
      </x:c>
      <x:c r="G19" s="184" t="n">
        <x:v>0</x:v>
      </x:c>
      <x:c r="H19" s="184" t="n">
        <x:v>0</x:v>
      </x:c>
      <x:c r="I19" s="184" t="n">
        <x:v>0</x:v>
      </x:c>
      <x:c r="J19" s="184" t="n">
        <x:v>50</x:v>
      </x:c>
      <x:c r="K19" s="184" t="n">
        <x:v>0</x:v>
      </x:c>
      <x:c r="L19" s="184" t="n">
        <x:v>0</x:v>
      </x:c>
      <x:c r="M19" s="184" t="n">
        <x:v>0</x:v>
      </x:c>
      <x:c r="N19" s="186" t="n">
        <x:v>40</x:v>
      </x:c>
      <x:c r="O19" s="186" t="n">
        <x:v>40</x:v>
      </x:c>
      <x:c r="P19" s="186" t="n">
        <x:v>40</x:v>
      </x:c>
      <x:c r="Q19" s="186" t="n">
        <x:v>40</x:v>
      </x:c>
      <x:c r="R19" s="186" t="n">
        <x:v>30</x:v>
      </x:c>
      <x:c r="S19" s="186" t="n">
        <x:v>30</x:v>
      </x:c>
      <x:c r="T19" s="186" t="n">
        <x:v>30</x:v>
      </x:c>
      <x:c r="U19" s="186" t="n">
        <x:v>35</x:v>
      </x:c>
      <x:c r="V19" s="186" t="n">
        <x:v>40</x:v>
      </x:c>
      <x:c r="W19" s="186" t="n">
        <x:v>30</x:v>
      </x:c>
      <x:c r="X19" s="186" t="n">
        <x:v>30</x:v>
      </x:c>
      <x:c r="Y19" s="186" t="n">
        <x:v>30</x:v>
      </x:c>
      <x:c r="Z19" s="186" t="n">
        <x:v>35</x:v>
      </x:c>
      <x:c r="AA19" s="186" t="n">
        <x:v>35</x:v>
      </x:c>
      <x:c r="AB19" s="186" t="n">
        <x:v>40</x:v>
      </x:c>
      <x:c r="AC19" s="186" t="n">
        <x:v>40</x:v>
      </x:c>
      <x:c r="AD19" s="186" t="n">
        <x:v>40</x:v>
      </x:c>
      <x:c r="AE19" s="186" t="n">
        <x:v>40</x:v>
      </x:c>
      <x:c r="AF19" s="186" t="n">
        <x:v>40</x:v>
      </x:c>
      <x:c r="AG19" s="186" t="n">
        <x:v>30</x:v>
      </x:c>
      <x:c r="AH19" s="186" t="n">
        <x:v>35</x:v>
      </x:c>
      <x:c r="AI19" s="188" t="n">
        <x:f>SUM(D19:AH19)</x:f>
        <x:v>900</x:v>
      </x:c>
      <x:c r="AJ19" s="196" t="n">
        <x:f>D19*'Daftar Produk &amp; Harga'!$C$4+E19*'Daftar Produk &amp; Harga'!$C$5+F19*'Daftar Produk &amp; Harga'!$C$6+G19*'Daftar Produk &amp; Harga'!$C$7+H19*'Daftar Produk &amp; Harga'!$C$8+I19*'Daftar Produk &amp; Harga'!$C$9+J19*'Daftar Produk &amp; Harga'!$C$10+K19*'Daftar Produk &amp; Harga'!$C$11+L19*'Daftar Produk &amp; Harga'!$C$12+M19*'Daftar Produk &amp; Harga'!$C$13+N19*'Daftar Produk &amp; Harga'!$C$14+O19*'Daftar Produk &amp; Harga'!$C$15+P19*'Daftar Produk &amp; Harga'!$C$16+Q19*'Daftar Produk &amp; Harga'!$C$17+R19*'Daftar Produk &amp; Harga'!$C$18+S19*'Daftar Produk &amp; Harga'!$C$19+T19*'Daftar Produk &amp; Harga'!$C$20+U19*'Daftar Produk &amp; Harga'!$C$21+V19*'Daftar Produk &amp; Harga'!$C$22+W19*'Daftar Produk &amp; Harga'!$C$23+X19*'Daftar Produk &amp; Harga'!$C$24+Y19*'Daftar Produk &amp; Harga'!$C$25+Z19*'Daftar Produk &amp; Harga'!$C$26+AA19*'Daftar Produk &amp; Harga'!$C$27+AB19*'Daftar Produk &amp; Harga'!$C$28+AC19*'Daftar Produk &amp; Harga'!$C$29+AD19*'Daftar Produk &amp; Harga'!$C$30+AE19*'Daftar Produk &amp; Harga'!$C$31+AF19*'Daftar Produk &amp; Harga'!$C$32+AG19*'Daftar Produk &amp; Harga'!$C$33+AH19*'Daftar Produk &amp; Harga'!$C$34</x:f>
        <x:v>27425000</x:v>
      </x:c>
    </x:row>
    <x:row r="20" ht="18" customHeight="1">
      <x:c r="A20" s="178" t="n">
        <x:v>17</x:v>
      </x:c>
      <x:c r="B20" s="179" t="n">
        <x:v>46039</x:v>
      </x:c>
      <x:c r="C20" s="178" t="str">
        <x:v>Sabtu</x:v>
      </x:c>
      <x:c r="D20" s="184" t="n">
        <x:v>0</x:v>
      </x:c>
      <x:c r="E20" s="184" t="n">
        <x:v>0</x:v>
      </x:c>
      <x:c r="F20" s="184" t="n">
        <x:v>60</x:v>
      </x:c>
      <x:c r="G20" s="184" t="n">
        <x:v>0</x:v>
      </x:c>
      <x:c r="H20" s="184" t="n">
        <x:v>0</x:v>
      </x:c>
      <x:c r="I20" s="184" t="n">
        <x:v>0</x:v>
      </x:c>
      <x:c r="J20" s="184" t="n">
        <x:v>50</x:v>
      </x:c>
      <x:c r="K20" s="184" t="n">
        <x:v>0</x:v>
      </x:c>
      <x:c r="L20" s="184" t="n">
        <x:v>0</x:v>
      </x:c>
      <x:c r="M20" s="184" t="n">
        <x:v>40</x:v>
      </x:c>
      <x:c r="N20" s="186" t="n">
        <x:v>40</x:v>
      </x:c>
      <x:c r="O20" s="186" t="n">
        <x:v>45</x:v>
      </x:c>
      <x:c r="P20" s="186" t="n">
        <x:v>50</x:v>
      </x:c>
      <x:c r="Q20" s="186" t="n">
        <x:v>35</x:v>
      </x:c>
      <x:c r="R20" s="186" t="n">
        <x:v>50</x:v>
      </x:c>
      <x:c r="S20" s="186" t="n">
        <x:v>45</x:v>
      </x:c>
      <x:c r="T20" s="186" t="n">
        <x:v>45</x:v>
      </x:c>
      <x:c r="U20" s="186" t="n">
        <x:v>40</x:v>
      </x:c>
      <x:c r="V20" s="186" t="n">
        <x:v>45</x:v>
      </x:c>
      <x:c r="W20" s="186" t="n">
        <x:v>45</x:v>
      </x:c>
      <x:c r="X20" s="186" t="n">
        <x:v>45</x:v>
      </x:c>
      <x:c r="Y20" s="186" t="n">
        <x:v>40</x:v>
      </x:c>
      <x:c r="Z20" s="186" t="n">
        <x:v>35</x:v>
      </x:c>
      <x:c r="AA20" s="186" t="n">
        <x:v>45</x:v>
      </x:c>
      <x:c r="AB20" s="186" t="n">
        <x:v>40</x:v>
      </x:c>
      <x:c r="AC20" s="186" t="n">
        <x:v>45</x:v>
      </x:c>
      <x:c r="AD20" s="186" t="n">
        <x:v>50</x:v>
      </x:c>
      <x:c r="AE20" s="186" t="n">
        <x:v>40</x:v>
      </x:c>
      <x:c r="AF20" s="186" t="n">
        <x:v>40</x:v>
      </x:c>
      <x:c r="AG20" s="186" t="n">
        <x:v>45</x:v>
      </x:c>
      <x:c r="AH20" s="186" t="n">
        <x:v>45</x:v>
      </x:c>
      <x:c r="AI20" s="188" t="n">
        <x:f>SUM(D20:AH20)</x:f>
        <x:v>1060</x:v>
      </x:c>
      <x:c r="AJ20" s="196" t="n">
        <x:f>D20*'Daftar Produk &amp; Harga'!$C$4+E20*'Daftar Produk &amp; Harga'!$C$5+F20*'Daftar Produk &amp; Harga'!$C$6+G20*'Daftar Produk &amp; Harga'!$C$7+H20*'Daftar Produk &amp; Harga'!$C$8+I20*'Daftar Produk &amp; Harga'!$C$9+J20*'Daftar Produk &amp; Harga'!$C$10+K20*'Daftar Produk &amp; Harga'!$C$11+L20*'Daftar Produk &amp; Harga'!$C$12+M20*'Daftar Produk &amp; Harga'!$C$13+N20*'Daftar Produk &amp; Harga'!$C$14+O20*'Daftar Produk &amp; Harga'!$C$15+P20*'Daftar Produk &amp; Harga'!$C$16+Q20*'Daftar Produk &amp; Harga'!$C$17+R20*'Daftar Produk &amp; Harga'!$C$18+S20*'Daftar Produk &amp; Harga'!$C$19+T20*'Daftar Produk &amp; Harga'!$C$20+U20*'Daftar Produk &amp; Harga'!$C$21+V20*'Daftar Produk &amp; Harga'!$C$22+W20*'Daftar Produk &amp; Harga'!$C$23+X20*'Daftar Produk &amp; Harga'!$C$24+Y20*'Daftar Produk &amp; Harga'!$C$25+Z20*'Daftar Produk &amp; Harga'!$C$26+AA20*'Daftar Produk &amp; Harga'!$C$27+AB20*'Daftar Produk &amp; Harga'!$C$28+AC20*'Daftar Produk &amp; Harga'!$C$29+AD20*'Daftar Produk &amp; Harga'!$C$30+AE20*'Daftar Produk &amp; Harga'!$C$31+AF20*'Daftar Produk &amp; Harga'!$C$32+AG20*'Daftar Produk &amp; Harga'!$C$33+AH20*'Daftar Produk &amp; Harga'!$C$34</x:f>
        <x:v>33720000</x:v>
      </x:c>
    </x:row>
    <x:row r="21" ht="18" customHeight="1">
      <x:c r="A21" s="178" t="n">
        <x:v>18</x:v>
      </x:c>
      <x:c r="B21" s="179" t="n">
        <x:v>46040</x:v>
      </x:c>
      <x:c r="C21" s="178" t="str">
        <x:v>Minggu</x:v>
      </x:c>
      <x:c r="D21" s="184" t="n">
        <x:v>0</x:v>
      </x:c>
      <x:c r="E21" s="184" t="n">
        <x:v>0</x:v>
      </x:c>
      <x:c r="F21" s="184" t="n">
        <x:v>0</x:v>
      </x:c>
      <x:c r="G21" s="184" t="n">
        <x:v>0</x:v>
      </x:c>
      <x:c r="H21" s="184" t="n">
        <x:v>40</x:v>
      </x:c>
      <x:c r="I21" s="184" t="n">
        <x:v>0</x:v>
      </x:c>
      <x:c r="J21" s="184" t="n">
        <x:v>0</x:v>
      </x:c>
      <x:c r="K21" s="184" t="n">
        <x:v>0</x:v>
      </x:c>
      <x:c r="L21" s="184" t="n">
        <x:v>0</x:v>
      </x:c>
      <x:c r="M21" s="184" t="n">
        <x:v>40</x:v>
      </x:c>
      <x:c r="N21" s="186" t="n">
        <x:v>45</x:v>
      </x:c>
      <x:c r="O21" s="186" t="n">
        <x:v>35</x:v>
      </x:c>
      <x:c r="P21" s="186" t="n">
        <x:v>45</x:v>
      </x:c>
      <x:c r="Q21" s="186" t="n">
        <x:v>50</x:v>
      </x:c>
      <x:c r="R21" s="186" t="n">
        <x:v>35</x:v>
      </x:c>
      <x:c r="S21" s="186" t="n">
        <x:v>35</x:v>
      </x:c>
      <x:c r="T21" s="186" t="n">
        <x:v>45</x:v>
      </x:c>
      <x:c r="U21" s="186" t="n">
        <x:v>45</x:v>
      </x:c>
      <x:c r="V21" s="186" t="n">
        <x:v>50</x:v>
      </x:c>
      <x:c r="W21" s="186" t="n">
        <x:v>45</x:v>
      </x:c>
      <x:c r="X21" s="186" t="n">
        <x:v>40</x:v>
      </x:c>
      <x:c r="Y21" s="186" t="n">
        <x:v>40</x:v>
      </x:c>
      <x:c r="Z21" s="186" t="n">
        <x:v>50</x:v>
      </x:c>
      <x:c r="AA21" s="186" t="n">
        <x:v>50</x:v>
      </x:c>
      <x:c r="AB21" s="186" t="n">
        <x:v>45</x:v>
      </x:c>
      <x:c r="AC21" s="186" t="n">
        <x:v>45</x:v>
      </x:c>
      <x:c r="AD21" s="186" t="n">
        <x:v>40</x:v>
      </x:c>
      <x:c r="AE21" s="186" t="n">
        <x:v>35</x:v>
      </x:c>
      <x:c r="AF21" s="186" t="n">
        <x:v>40</x:v>
      </x:c>
      <x:c r="AG21" s="186" t="n">
        <x:v>45</x:v>
      </x:c>
      <x:c r="AH21" s="186" t="n">
        <x:v>50</x:v>
      </x:c>
      <x:c r="AI21" s="188" t="n">
        <x:f>SUM(D21:AH21)</x:f>
        <x:v>990</x:v>
      </x:c>
      <x:c r="AJ21" s="196" t="n">
        <x:f>D21*'Daftar Produk &amp; Harga'!$C$4+E21*'Daftar Produk &amp; Harga'!$C$5+F21*'Daftar Produk &amp; Harga'!$C$6+G21*'Daftar Produk &amp; Harga'!$C$7+H21*'Daftar Produk &amp; Harga'!$C$8+I21*'Daftar Produk &amp; Harga'!$C$9+J21*'Daftar Produk &amp; Harga'!$C$10+K21*'Daftar Produk &amp; Harga'!$C$11+L21*'Daftar Produk &amp; Harga'!$C$12+M21*'Daftar Produk &amp; Harga'!$C$13+N21*'Daftar Produk &amp; Harga'!$C$14+O21*'Daftar Produk &amp; Harga'!$C$15+P21*'Daftar Produk &amp; Harga'!$C$16+Q21*'Daftar Produk &amp; Harga'!$C$17+R21*'Daftar Produk &amp; Harga'!$C$18+S21*'Daftar Produk &amp; Harga'!$C$19+T21*'Daftar Produk &amp; Harga'!$C$20+U21*'Daftar Produk &amp; Harga'!$C$21+V21*'Daftar Produk &amp; Harga'!$C$22+W21*'Daftar Produk &amp; Harga'!$C$23+X21*'Daftar Produk &amp; Harga'!$C$24+Y21*'Daftar Produk &amp; Harga'!$C$25+Z21*'Daftar Produk &amp; Harga'!$C$26+AA21*'Daftar Produk &amp; Harga'!$C$27+AB21*'Daftar Produk &amp; Harga'!$C$28+AC21*'Daftar Produk &amp; Harga'!$C$29+AD21*'Daftar Produk &amp; Harga'!$C$30+AE21*'Daftar Produk &amp; Harga'!$C$31+AF21*'Daftar Produk &amp; Harga'!$C$32+AG21*'Daftar Produk &amp; Harga'!$C$33+AH21*'Daftar Produk &amp; Harga'!$C$34</x:f>
        <x:v>32180000</x:v>
      </x:c>
    </x:row>
    <x:row r="22" ht="18" customHeight="1">
      <x:c r="A22" s="178" t="n">
        <x:v>19</x:v>
      </x:c>
      <x:c r="B22" s="179" t="n">
        <x:v>46041</x:v>
      </x:c>
      <x:c r="C22" s="178" t="str">
        <x:v>Senin</x:v>
      </x:c>
      <x:c r="D22" s="184" t="n">
        <x:v>0</x:v>
      </x:c>
      <x:c r="E22" s="184" t="n">
        <x:v>0</x:v>
      </x:c>
      <x:c r="F22" s="184" t="n">
        <x:v>0</x:v>
      </x:c>
      <x:c r="G22" s="184" t="n">
        <x:v>0</x:v>
      </x:c>
      <x:c r="H22" s="184" t="n">
        <x:v>40</x:v>
      </x:c>
      <x:c r="I22" s="184" t="n">
        <x:v>0</x:v>
      </x:c>
      <x:c r="J22" s="184" t="n">
        <x:v>0</x:v>
      </x:c>
      <x:c r="K22" s="184" t="n">
        <x:v>0</x:v>
      </x:c>
      <x:c r="L22" s="184" t="n">
        <x:v>0</x:v>
      </x:c>
      <x:c r="M22" s="184" t="n">
        <x:v>40</x:v>
      </x:c>
      <x:c r="N22" s="186" t="n">
        <x:v>40</x:v>
      </x:c>
      <x:c r="O22" s="186" t="n">
        <x:v>40</x:v>
      </x:c>
      <x:c r="P22" s="186" t="n">
        <x:v>40</x:v>
      </x:c>
      <x:c r="Q22" s="186" t="n">
        <x:v>30</x:v>
      </x:c>
      <x:c r="R22" s="186" t="n">
        <x:v>40</x:v>
      </x:c>
      <x:c r="S22" s="186" t="n">
        <x:v>30</x:v>
      </x:c>
      <x:c r="T22" s="186" t="n">
        <x:v>30</x:v>
      </x:c>
      <x:c r="U22" s="186" t="n">
        <x:v>35</x:v>
      </x:c>
      <x:c r="V22" s="186" t="n">
        <x:v>40</x:v>
      </x:c>
      <x:c r="W22" s="186" t="n">
        <x:v>40</x:v>
      </x:c>
      <x:c r="X22" s="186" t="n">
        <x:v>30</x:v>
      </x:c>
      <x:c r="Y22" s="186" t="n">
        <x:v>35</x:v>
      </x:c>
      <x:c r="Z22" s="186" t="n">
        <x:v>40</x:v>
      </x:c>
      <x:c r="AA22" s="186" t="n">
        <x:v>30</x:v>
      </x:c>
      <x:c r="AB22" s="186" t="n">
        <x:v>30</x:v>
      </x:c>
      <x:c r="AC22" s="186" t="n">
        <x:v>35</x:v>
      </x:c>
      <x:c r="AD22" s="186" t="n">
        <x:v>40</x:v>
      </x:c>
      <x:c r="AE22" s="186" t="n">
        <x:v>30</x:v>
      </x:c>
      <x:c r="AF22" s="186" t="n">
        <x:v>40</x:v>
      </x:c>
      <x:c r="AG22" s="186" t="n">
        <x:v>35</x:v>
      </x:c>
      <x:c r="AH22" s="186" t="n">
        <x:v>40</x:v>
      </x:c>
      <x:c r="AI22" s="188" t="n">
        <x:f>SUM(D22:AH22)</x:f>
        <x:v>830</x:v>
      </x:c>
      <x:c r="AJ22" s="196" t="n">
        <x:f>D22*'Daftar Produk &amp; Harga'!$C$4+E22*'Daftar Produk &amp; Harga'!$C$5+F22*'Daftar Produk &amp; Harga'!$C$6+G22*'Daftar Produk &amp; Harga'!$C$7+H22*'Daftar Produk &amp; Harga'!$C$8+I22*'Daftar Produk &amp; Harga'!$C$9+J22*'Daftar Produk &amp; Harga'!$C$10+K22*'Daftar Produk &amp; Harga'!$C$11+L22*'Daftar Produk &amp; Harga'!$C$12+M22*'Daftar Produk &amp; Harga'!$C$13+N22*'Daftar Produk &amp; Harga'!$C$14+O22*'Daftar Produk &amp; Harga'!$C$15+P22*'Daftar Produk &amp; Harga'!$C$16+Q22*'Daftar Produk &amp; Harga'!$C$17+R22*'Daftar Produk &amp; Harga'!$C$18+S22*'Daftar Produk &amp; Harga'!$C$19+T22*'Daftar Produk &amp; Harga'!$C$20+U22*'Daftar Produk &amp; Harga'!$C$21+V22*'Daftar Produk &amp; Harga'!$C$22+W22*'Daftar Produk &amp; Harga'!$C$23+X22*'Daftar Produk &amp; Harga'!$C$24+Y22*'Daftar Produk &amp; Harga'!$C$25+Z22*'Daftar Produk &amp; Harga'!$C$26+AA22*'Daftar Produk &amp; Harga'!$C$27+AB22*'Daftar Produk &amp; Harga'!$C$28+AC22*'Daftar Produk &amp; Harga'!$C$29+AD22*'Daftar Produk &amp; Harga'!$C$30+AE22*'Daftar Produk &amp; Harga'!$C$31+AF22*'Daftar Produk &amp; Harga'!$C$32+AG22*'Daftar Produk &amp; Harga'!$C$33+AH22*'Daftar Produk &amp; Harga'!$C$34</x:f>
        <x:v>27625000</x:v>
      </x:c>
    </x:row>
    <x:row r="23" ht="18" customHeight="1">
      <x:c r="A23" s="178" t="n">
        <x:v>20</x:v>
      </x:c>
      <x:c r="B23" s="179" t="n">
        <x:v>46042</x:v>
      </x:c>
      <x:c r="C23" s="178" t="str">
        <x:v>Selasa</x:v>
      </x:c>
      <x:c r="D23" s="184" t="n">
        <x:v>0</x:v>
      </x:c>
      <x:c r="E23" s="184" t="n">
        <x:v>0</x:v>
      </x:c>
      <x:c r="F23" s="184" t="n">
        <x:v>0</x:v>
      </x:c>
      <x:c r="G23" s="184" t="n">
        <x:v>0</x:v>
      </x:c>
      <x:c r="H23" s="184" t="n">
        <x:v>40</x:v>
      </x:c>
      <x:c r="I23" s="184" t="n">
        <x:v>0</x:v>
      </x:c>
      <x:c r="J23" s="184" t="n">
        <x:v>0</x:v>
      </x:c>
      <x:c r="K23" s="184" t="n">
        <x:v>0</x:v>
      </x:c>
      <x:c r="L23" s="184" t="n">
        <x:v>40</x:v>
      </x:c>
      <x:c r="M23" s="184" t="n">
        <x:v>40</x:v>
      </x:c>
      <x:c r="N23" s="186" t="n">
        <x:v>35</x:v>
      </x:c>
      <x:c r="O23" s="186" t="n">
        <x:v>30</x:v>
      </x:c>
      <x:c r="P23" s="186" t="n">
        <x:v>35</x:v>
      </x:c>
      <x:c r="Q23" s="186" t="n">
        <x:v>40</x:v>
      </x:c>
      <x:c r="R23" s="186" t="n">
        <x:v>30</x:v>
      </x:c>
      <x:c r="S23" s="186" t="n">
        <x:v>35</x:v>
      </x:c>
      <x:c r="T23" s="186" t="n">
        <x:v>30</x:v>
      </x:c>
      <x:c r="U23" s="186" t="n">
        <x:v>30</x:v>
      </x:c>
      <x:c r="V23" s="186" t="n">
        <x:v>35</x:v>
      </x:c>
      <x:c r="W23" s="186" t="n">
        <x:v>40</x:v>
      </x:c>
      <x:c r="X23" s="186" t="n">
        <x:v>30</x:v>
      </x:c>
      <x:c r="Y23" s="186" t="n">
        <x:v>30</x:v>
      </x:c>
      <x:c r="Z23" s="186" t="n">
        <x:v>40</x:v>
      </x:c>
      <x:c r="AA23" s="186" t="n">
        <x:v>40</x:v>
      </x:c>
      <x:c r="AB23" s="186" t="n">
        <x:v>35</x:v>
      </x:c>
      <x:c r="AC23" s="186" t="n">
        <x:v>30</x:v>
      </x:c>
      <x:c r="AD23" s="186" t="n">
        <x:v>40</x:v>
      </x:c>
      <x:c r="AE23" s="186" t="n">
        <x:v>40</x:v>
      </x:c>
      <x:c r="AF23" s="186" t="n">
        <x:v>35</x:v>
      </x:c>
      <x:c r="AG23" s="186" t="n">
        <x:v>35</x:v>
      </x:c>
      <x:c r="AH23" s="186" t="n">
        <x:v>35</x:v>
      </x:c>
      <x:c r="AI23" s="188" t="n">
        <x:f>SUM(D23:AH23)</x:f>
        <x:v>850</x:v>
      </x:c>
      <x:c r="AJ23" s="196" t="n">
        <x:f>D23*'Daftar Produk &amp; Harga'!$C$4+E23*'Daftar Produk &amp; Harga'!$C$5+F23*'Daftar Produk &amp; Harga'!$C$6+G23*'Daftar Produk &amp; Harga'!$C$7+H23*'Daftar Produk &amp; Harga'!$C$8+I23*'Daftar Produk &amp; Harga'!$C$9+J23*'Daftar Produk &amp; Harga'!$C$10+K23*'Daftar Produk &amp; Harga'!$C$11+L23*'Daftar Produk &amp; Harga'!$C$12+M23*'Daftar Produk &amp; Harga'!$C$13+N23*'Daftar Produk &amp; Harga'!$C$14+O23*'Daftar Produk &amp; Harga'!$C$15+P23*'Daftar Produk &amp; Harga'!$C$16+Q23*'Daftar Produk &amp; Harga'!$C$17+R23*'Daftar Produk &amp; Harga'!$C$18+S23*'Daftar Produk &amp; Harga'!$C$19+T23*'Daftar Produk &amp; Harga'!$C$20+U23*'Daftar Produk &amp; Harga'!$C$21+V23*'Daftar Produk &amp; Harga'!$C$22+W23*'Daftar Produk &amp; Harga'!$C$23+X23*'Daftar Produk &amp; Harga'!$C$24+Y23*'Daftar Produk &amp; Harga'!$C$25+Z23*'Daftar Produk &amp; Harga'!$C$26+AA23*'Daftar Produk &amp; Harga'!$C$27+AB23*'Daftar Produk &amp; Harga'!$C$28+AC23*'Daftar Produk &amp; Harga'!$C$29+AD23*'Daftar Produk &amp; Harga'!$C$30+AE23*'Daftar Produk &amp; Harga'!$C$31+AF23*'Daftar Produk &amp; Harga'!$C$32+AG23*'Daftar Produk &amp; Harga'!$C$33+AH23*'Daftar Produk &amp; Harga'!$C$34</x:f>
        <x:v>27975000</x:v>
      </x:c>
    </x:row>
    <x:row r="24" ht="18" customHeight="1">
      <x:c r="A24" s="178" t="n">
        <x:v>21</x:v>
      </x:c>
      <x:c r="B24" s="179" t="n">
        <x:v>46043</x:v>
      </x:c>
      <x:c r="C24" s="178" t="str">
        <x:v>Rabu</x:v>
      </x:c>
      <x:c r="D24" s="184" t="n">
        <x:v>0</x:v>
      </x:c>
      <x:c r="E24" s="184" t="n">
        <x:v>40</x:v>
      </x:c>
      <x:c r="F24" s="184" t="n">
        <x:v>0</x:v>
      </x:c>
      <x:c r="G24" s="184" t="n">
        <x:v>0</x:v>
      </x:c>
      <x:c r="H24" s="184" t="n">
        <x:v>40</x:v>
      </x:c>
      <x:c r="I24" s="184" t="n">
        <x:v>0</x:v>
      </x:c>
      <x:c r="J24" s="184" t="n">
        <x:v>0</x:v>
      </x:c>
      <x:c r="K24" s="184" t="n">
        <x:v>0</x:v>
      </x:c>
      <x:c r="L24" s="184" t="n">
        <x:v>40</x:v>
      </x:c>
      <x:c r="M24" s="184" t="n">
        <x:v>40</x:v>
      </x:c>
      <x:c r="N24" s="186" t="n">
        <x:v>35</x:v>
      </x:c>
      <x:c r="O24" s="186" t="n">
        <x:v>40</x:v>
      </x:c>
      <x:c r="P24" s="186" t="n">
        <x:v>35</x:v>
      </x:c>
      <x:c r="Q24" s="186" t="n">
        <x:v>40</x:v>
      </x:c>
      <x:c r="R24" s="186" t="n">
        <x:v>35</x:v>
      </x:c>
      <x:c r="S24" s="186" t="n">
        <x:v>30</x:v>
      </x:c>
      <x:c r="T24" s="186" t="n">
        <x:v>35</x:v>
      </x:c>
      <x:c r="U24" s="186" t="n">
        <x:v>40</x:v>
      </x:c>
      <x:c r="V24" s="186" t="n">
        <x:v>30</x:v>
      </x:c>
      <x:c r="W24" s="186" t="n">
        <x:v>35</x:v>
      </x:c>
      <x:c r="X24" s="186" t="n">
        <x:v>35</x:v>
      </x:c>
      <x:c r="Y24" s="186" t="n">
        <x:v>35</x:v>
      </x:c>
      <x:c r="Z24" s="186" t="n">
        <x:v>35</x:v>
      </x:c>
      <x:c r="AA24" s="186" t="n">
        <x:v>35</x:v>
      </x:c>
      <x:c r="AB24" s="186" t="n">
        <x:v>35</x:v>
      </x:c>
      <x:c r="AC24" s="186" t="n">
        <x:v>30</x:v>
      </x:c>
      <x:c r="AD24" s="186" t="n">
        <x:v>35</x:v>
      </x:c>
      <x:c r="AE24" s="186" t="n">
        <x:v>40</x:v>
      </x:c>
      <x:c r="AF24" s="186" t="n">
        <x:v>35</x:v>
      </x:c>
      <x:c r="AG24" s="186" t="n">
        <x:v>30</x:v>
      </x:c>
      <x:c r="AH24" s="186" t="n">
        <x:v>40</x:v>
      </x:c>
      <x:c r="AI24" s="188" t="n">
        <x:f>SUM(D24:AH24)</x:f>
        <x:v>900</x:v>
      </x:c>
      <x:c r="AJ24" s="196" t="n">
        <x:f>D24*'Daftar Produk &amp; Harga'!$C$4+E24*'Daftar Produk &amp; Harga'!$C$5+F24*'Daftar Produk &amp; Harga'!$C$6+G24*'Daftar Produk &amp; Harga'!$C$7+H24*'Daftar Produk &amp; Harga'!$C$8+I24*'Daftar Produk &amp; Harga'!$C$9+J24*'Daftar Produk &amp; Harga'!$C$10+K24*'Daftar Produk &amp; Harga'!$C$11+L24*'Daftar Produk &amp; Harga'!$C$12+M24*'Daftar Produk &amp; Harga'!$C$13+N24*'Daftar Produk &amp; Harga'!$C$14+O24*'Daftar Produk &amp; Harga'!$C$15+P24*'Daftar Produk &amp; Harga'!$C$16+Q24*'Daftar Produk &amp; Harga'!$C$17+R24*'Daftar Produk &amp; Harga'!$C$18+S24*'Daftar Produk &amp; Harga'!$C$19+T24*'Daftar Produk &amp; Harga'!$C$20+U24*'Daftar Produk &amp; Harga'!$C$21+V24*'Daftar Produk &amp; Harga'!$C$22+W24*'Daftar Produk &amp; Harga'!$C$23+X24*'Daftar Produk &amp; Harga'!$C$24+Y24*'Daftar Produk &amp; Harga'!$C$25+Z24*'Daftar Produk &amp; Harga'!$C$26+AA24*'Daftar Produk &amp; Harga'!$C$27+AB24*'Daftar Produk &amp; Harga'!$C$28+AC24*'Daftar Produk &amp; Harga'!$C$29+AD24*'Daftar Produk &amp; Harga'!$C$30+AE24*'Daftar Produk &amp; Harga'!$C$31+AF24*'Daftar Produk &amp; Harga'!$C$32+AG24*'Daftar Produk &amp; Harga'!$C$33+AH24*'Daftar Produk &amp; Harga'!$C$34</x:f>
        <x:v>29925000</x:v>
      </x:c>
    </x:row>
    <x:row r="25" ht="18" customHeight="1">
      <x:c r="A25" s="178" t="n">
        <x:v>22</x:v>
      </x:c>
      <x:c r="B25" s="179" t="n">
        <x:v>46044</x:v>
      </x:c>
      <x:c r="C25" s="178" t="str">
        <x:v>Kamis</x:v>
      </x:c>
      <x:c r="D25" s="184" t="n">
        <x:v>0</x:v>
      </x:c>
      <x:c r="E25" s="184" t="n">
        <x:v>40</x:v>
      </x:c>
      <x:c r="F25" s="184" t="n">
        <x:v>0</x:v>
      </x:c>
      <x:c r="G25" s="184" t="n">
        <x:v>0</x:v>
      </x:c>
      <x:c r="H25" s="184" t="n">
        <x:v>0</x:v>
      </x:c>
      <x:c r="I25" s="184" t="n">
        <x:v>0</x:v>
      </x:c>
      <x:c r="J25" s="184" t="n">
        <x:v>0</x:v>
      </x:c>
      <x:c r="K25" s="184" t="n">
        <x:v>0</x:v>
      </x:c>
      <x:c r="L25" s="184" t="n">
        <x:v>40</x:v>
      </x:c>
      <x:c r="M25" s="184" t="n">
        <x:v>50</x:v>
      </x:c>
      <x:c r="N25" s="186" t="n">
        <x:v>30</x:v>
      </x:c>
      <x:c r="O25" s="186" t="n">
        <x:v>30</x:v>
      </x:c>
      <x:c r="P25" s="186" t="n">
        <x:v>35</x:v>
      </x:c>
      <x:c r="Q25" s="186" t="n">
        <x:v>35</x:v>
      </x:c>
      <x:c r="R25" s="186" t="n">
        <x:v>40</x:v>
      </x:c>
      <x:c r="S25" s="186" t="n">
        <x:v>40</x:v>
      </x:c>
      <x:c r="T25" s="186" t="n">
        <x:v>30</x:v>
      </x:c>
      <x:c r="U25" s="186" t="n">
        <x:v>30</x:v>
      </x:c>
      <x:c r="V25" s="186" t="n">
        <x:v>30</x:v>
      </x:c>
      <x:c r="W25" s="186" t="n">
        <x:v>30</x:v>
      </x:c>
      <x:c r="X25" s="186" t="n">
        <x:v>35</x:v>
      </x:c>
      <x:c r="Y25" s="186" t="n">
        <x:v>30</x:v>
      </x:c>
      <x:c r="Z25" s="186" t="n">
        <x:v>30</x:v>
      </x:c>
      <x:c r="AA25" s="186" t="n">
        <x:v>30</x:v>
      </x:c>
      <x:c r="AB25" s="186" t="n">
        <x:v>35</x:v>
      </x:c>
      <x:c r="AC25" s="186" t="n">
        <x:v>35</x:v>
      </x:c>
      <x:c r="AD25" s="186" t="n">
        <x:v>40</x:v>
      </x:c>
      <x:c r="AE25" s="186" t="n">
        <x:v>30</x:v>
      </x:c>
      <x:c r="AF25" s="186" t="n">
        <x:v>35</x:v>
      </x:c>
      <x:c r="AG25" s="186" t="n">
        <x:v>40</x:v>
      </x:c>
      <x:c r="AH25" s="186" t="n">
        <x:v>35</x:v>
      </x:c>
      <x:c r="AI25" s="188" t="n">
        <x:f>SUM(D25:AH25)</x:f>
        <x:v>835</x:v>
      </x:c>
      <x:c r="AJ25" s="196" t="n">
        <x:f>D25*'Daftar Produk &amp; Harga'!$C$4+E25*'Daftar Produk &amp; Harga'!$C$5+F25*'Daftar Produk &amp; Harga'!$C$6+G25*'Daftar Produk &amp; Harga'!$C$7+H25*'Daftar Produk &amp; Harga'!$C$8+I25*'Daftar Produk &amp; Harga'!$C$9+J25*'Daftar Produk &amp; Harga'!$C$10+K25*'Daftar Produk &amp; Harga'!$C$11+L25*'Daftar Produk &amp; Harga'!$C$12+M25*'Daftar Produk &amp; Harga'!$C$13+N25*'Daftar Produk &amp; Harga'!$C$14+O25*'Daftar Produk &amp; Harga'!$C$15+P25*'Daftar Produk &amp; Harga'!$C$16+Q25*'Daftar Produk &amp; Harga'!$C$17+R25*'Daftar Produk &amp; Harga'!$C$18+S25*'Daftar Produk &amp; Harga'!$C$19+T25*'Daftar Produk &amp; Harga'!$C$20+U25*'Daftar Produk &amp; Harga'!$C$21+V25*'Daftar Produk &amp; Harga'!$C$22+W25*'Daftar Produk &amp; Harga'!$C$23+X25*'Daftar Produk &amp; Harga'!$C$24+Y25*'Daftar Produk &amp; Harga'!$C$25+Z25*'Daftar Produk &amp; Harga'!$C$26+AA25*'Daftar Produk &amp; Harga'!$C$27+AB25*'Daftar Produk &amp; Harga'!$C$28+AC25*'Daftar Produk &amp; Harga'!$C$29+AD25*'Daftar Produk &amp; Harga'!$C$30+AE25*'Daftar Produk &amp; Harga'!$C$31+AF25*'Daftar Produk &amp; Harga'!$C$32+AG25*'Daftar Produk &amp; Harga'!$C$33+AH25*'Daftar Produk &amp; Harga'!$C$34</x:f>
        <x:v>27740000</x:v>
      </x:c>
    </x:row>
    <x:row r="26" ht="18" customHeight="1">
      <x:c r="A26" s="178" t="n">
        <x:v>23</x:v>
      </x:c>
      <x:c r="B26" s="179" t="n">
        <x:v>46045</x:v>
      </x:c>
      <x:c r="C26" s="178" t="str">
        <x:v>Jumat</x:v>
      </x:c>
      <x:c r="D26" s="184" t="n">
        <x:v>0</x:v>
      </x:c>
      <x:c r="E26" s="184" t="n">
        <x:v>40</x:v>
      </x:c>
      <x:c r="F26" s="184" t="n">
        <x:v>0</x:v>
      </x:c>
      <x:c r="G26" s="184" t="n">
        <x:v>0</x:v>
      </x:c>
      <x:c r="H26" s="184" t="n">
        <x:v>0</x:v>
      </x:c>
      <x:c r="I26" s="184" t="n">
        <x:v>0</x:v>
      </x:c>
      <x:c r="J26" s="184" t="n">
        <x:v>0</x:v>
      </x:c>
      <x:c r="K26" s="184" t="n">
        <x:v>0</x:v>
      </x:c>
      <x:c r="L26" s="184" t="n">
        <x:v>0</x:v>
      </x:c>
      <x:c r="M26" s="184" t="n">
        <x:v>0</x:v>
      </x:c>
      <x:c r="N26" s="186" t="n">
        <x:v>30</x:v>
      </x:c>
      <x:c r="O26" s="186" t="n">
        <x:v>35</x:v>
      </x:c>
      <x:c r="P26" s="186" t="n">
        <x:v>40</x:v>
      </x:c>
      <x:c r="Q26" s="186" t="n">
        <x:v>30</x:v>
      </x:c>
      <x:c r="R26" s="186" t="n">
        <x:v>35</x:v>
      </x:c>
      <x:c r="S26" s="186" t="n">
        <x:v>35</x:v>
      </x:c>
      <x:c r="T26" s="186" t="n">
        <x:v>30</x:v>
      </x:c>
      <x:c r="U26" s="186" t="n">
        <x:v>30</x:v>
      </x:c>
      <x:c r="V26" s="186" t="n">
        <x:v>30</x:v>
      </x:c>
      <x:c r="W26" s="186" t="n">
        <x:v>35</x:v>
      </x:c>
      <x:c r="X26" s="186" t="n">
        <x:v>30</x:v>
      </x:c>
      <x:c r="Y26" s="186" t="n">
        <x:v>35</x:v>
      </x:c>
      <x:c r="Z26" s="186" t="n">
        <x:v>40</x:v>
      </x:c>
      <x:c r="AA26" s="186" t="n">
        <x:v>40</x:v>
      </x:c>
      <x:c r="AB26" s="186" t="n">
        <x:v>40</x:v>
      </x:c>
      <x:c r="AC26" s="186" t="n">
        <x:v>40</x:v>
      </x:c>
      <x:c r="AD26" s="186" t="n">
        <x:v>35</x:v>
      </x:c>
      <x:c r="AE26" s="186" t="n">
        <x:v>35</x:v>
      </x:c>
      <x:c r="AF26" s="186" t="n">
        <x:v>35</x:v>
      </x:c>
      <x:c r="AG26" s="186" t="n">
        <x:v>40</x:v>
      </x:c>
      <x:c r="AH26" s="186" t="n">
        <x:v>40</x:v>
      </x:c>
      <x:c r="AI26" s="188" t="n">
        <x:f>SUM(D26:AH26)</x:f>
        <x:v>780</x:v>
      </x:c>
      <x:c r="AJ26" s="196" t="n">
        <x:f>D26*'Daftar Produk &amp; Harga'!$C$4+E26*'Daftar Produk &amp; Harga'!$C$5+F26*'Daftar Produk &amp; Harga'!$C$6+G26*'Daftar Produk &amp; Harga'!$C$7+H26*'Daftar Produk &amp; Harga'!$C$8+I26*'Daftar Produk &amp; Harga'!$C$9+J26*'Daftar Produk &amp; Harga'!$C$10+K26*'Daftar Produk &amp; Harga'!$C$11+L26*'Daftar Produk &amp; Harga'!$C$12+M26*'Daftar Produk &amp; Harga'!$C$13+N26*'Daftar Produk &amp; Harga'!$C$14+O26*'Daftar Produk &amp; Harga'!$C$15+P26*'Daftar Produk &amp; Harga'!$C$16+Q26*'Daftar Produk &amp; Harga'!$C$17+R26*'Daftar Produk &amp; Harga'!$C$18+S26*'Daftar Produk &amp; Harga'!$C$19+T26*'Daftar Produk &amp; Harga'!$C$20+U26*'Daftar Produk &amp; Harga'!$C$21+V26*'Daftar Produk &amp; Harga'!$C$22+W26*'Daftar Produk &amp; Harga'!$C$23+X26*'Daftar Produk &amp; Harga'!$C$24+Y26*'Daftar Produk &amp; Harga'!$C$25+Z26*'Daftar Produk &amp; Harga'!$C$26+AA26*'Daftar Produk &amp; Harga'!$C$27+AB26*'Daftar Produk &amp; Harga'!$C$28+AC26*'Daftar Produk &amp; Harga'!$C$29+AD26*'Daftar Produk &amp; Harga'!$C$30+AE26*'Daftar Produk &amp; Harga'!$C$31+AF26*'Daftar Produk &amp; Harga'!$C$32+AG26*'Daftar Produk &amp; Harga'!$C$33+AH26*'Daftar Produk &amp; Harga'!$C$34</x:f>
        <x:v>25350000</x:v>
      </x:c>
    </x:row>
    <x:row r="27" ht="18" customHeight="1">
      <x:c r="A27" s="178" t="n">
        <x:v>24</x:v>
      </x:c>
      <x:c r="B27" s="179" t="n">
        <x:v>46046</x:v>
      </x:c>
      <x:c r="C27" s="178" t="str">
        <x:v>Sabtu</x:v>
      </x:c>
      <x:c r="D27" s="184" t="n">
        <x:v>0</x:v>
      </x:c>
      <x:c r="E27" s="184" t="n">
        <x:v>45</x:v>
      </x:c>
      <x:c r="F27" s="184" t="n">
        <x:v>0</x:v>
      </x:c>
      <x:c r="G27" s="184" t="n">
        <x:v>0</x:v>
      </x:c>
      <x:c r="H27" s="184" t="n">
        <x:v>0</x:v>
      </x:c>
      <x:c r="I27" s="184" t="n">
        <x:v>40</x:v>
      </x:c>
      <x:c r="J27" s="184" t="n">
        <x:v>0</x:v>
      </x:c>
      <x:c r="K27" s="184" t="n">
        <x:v>0</x:v>
      </x:c>
      <x:c r="L27" s="184" t="n">
        <x:v>0</x:v>
      </x:c>
      <x:c r="M27" s="184" t="n">
        <x:v>0</x:v>
      </x:c>
      <x:c r="N27" s="186" t="n">
        <x:v>40</x:v>
      </x:c>
      <x:c r="O27" s="186" t="n">
        <x:v>40</x:v>
      </x:c>
      <x:c r="P27" s="186" t="n">
        <x:v>40</x:v>
      </x:c>
      <x:c r="Q27" s="186" t="n">
        <x:v>40</x:v>
      </x:c>
      <x:c r="R27" s="186" t="n">
        <x:v>45</x:v>
      </x:c>
      <x:c r="S27" s="186" t="n">
        <x:v>50</x:v>
      </x:c>
      <x:c r="T27" s="186" t="n">
        <x:v>40</x:v>
      </x:c>
      <x:c r="U27" s="186" t="n">
        <x:v>50</x:v>
      </x:c>
      <x:c r="V27" s="186" t="n">
        <x:v>35</x:v>
      </x:c>
      <x:c r="W27" s="186" t="n">
        <x:v>40</x:v>
      </x:c>
      <x:c r="X27" s="186" t="n">
        <x:v>40</x:v>
      </x:c>
      <x:c r="Y27" s="186" t="n">
        <x:v>40</x:v>
      </x:c>
      <x:c r="Z27" s="186" t="n">
        <x:v>45</x:v>
      </x:c>
      <x:c r="AA27" s="186" t="n">
        <x:v>40</x:v>
      </x:c>
      <x:c r="AB27" s="186" t="n">
        <x:v>40</x:v>
      </x:c>
      <x:c r="AC27" s="186" t="n">
        <x:v>35</x:v>
      </x:c>
      <x:c r="AD27" s="186" t="n">
        <x:v>45</x:v>
      </x:c>
      <x:c r="AE27" s="186" t="n">
        <x:v>45</x:v>
      </x:c>
      <x:c r="AF27" s="186" t="n">
        <x:v>35</x:v>
      </x:c>
      <x:c r="AG27" s="186" t="n">
        <x:v>50</x:v>
      </x:c>
      <x:c r="AH27" s="186" t="n">
        <x:v>45</x:v>
      </x:c>
      <x:c r="AI27" s="188" t="n">
        <x:f>SUM(D27:AH27)</x:f>
        <x:v>965</x:v>
      </x:c>
      <x:c r="AJ27" s="196" t="n">
        <x:f>D27*'Daftar Produk &amp; Harga'!$C$4+E27*'Daftar Produk &amp; Harga'!$C$5+F27*'Daftar Produk &amp; Harga'!$C$6+G27*'Daftar Produk &amp; Harga'!$C$7+H27*'Daftar Produk &amp; Harga'!$C$8+I27*'Daftar Produk &amp; Harga'!$C$9+J27*'Daftar Produk &amp; Harga'!$C$10+K27*'Daftar Produk &amp; Harga'!$C$11+L27*'Daftar Produk &amp; Harga'!$C$12+M27*'Daftar Produk &amp; Harga'!$C$13+N27*'Daftar Produk &amp; Harga'!$C$14+O27*'Daftar Produk &amp; Harga'!$C$15+P27*'Daftar Produk &amp; Harga'!$C$16+Q27*'Daftar Produk &amp; Harga'!$C$17+R27*'Daftar Produk &amp; Harga'!$C$18+S27*'Daftar Produk &amp; Harga'!$C$19+T27*'Daftar Produk &amp; Harga'!$C$20+U27*'Daftar Produk &amp; Harga'!$C$21+V27*'Daftar Produk &amp; Harga'!$C$22+W27*'Daftar Produk &amp; Harga'!$C$23+X27*'Daftar Produk &amp; Harga'!$C$24+Y27*'Daftar Produk &amp; Harga'!$C$25+Z27*'Daftar Produk &amp; Harga'!$C$26+AA27*'Daftar Produk &amp; Harga'!$C$27+AB27*'Daftar Produk &amp; Harga'!$C$28+AC27*'Daftar Produk &amp; Harga'!$C$29+AD27*'Daftar Produk &amp; Harga'!$C$30+AE27*'Daftar Produk &amp; Harga'!$C$31+AF27*'Daftar Produk &amp; Harga'!$C$32+AG27*'Daftar Produk &amp; Harga'!$C$33+AH27*'Daftar Produk &amp; Harga'!$C$34</x:f>
        <x:v>30895000</x:v>
      </x:c>
    </x:row>
    <x:row r="28" ht="18" customHeight="1">
      <x:c r="A28" s="178" t="n">
        <x:v>25</x:v>
      </x:c>
      <x:c r="B28" s="179" t="n">
        <x:v>46047</x:v>
      </x:c>
      <x:c r="C28" s="178" t="str">
        <x:v>Minggu</x:v>
      </x:c>
      <x:c r="D28" s="184" t="n">
        <x:v>0</x:v>
      </x:c>
      <x:c r="E28" s="184" t="n">
        <x:v>50</x:v>
      </x:c>
      <x:c r="F28" s="184" t="n">
        <x:v>0</x:v>
      </x:c>
      <x:c r="G28" s="184" t="n">
        <x:v>50</x:v>
      </x:c>
      <x:c r="H28" s="184" t="n">
        <x:v>0</x:v>
      </x:c>
      <x:c r="I28" s="184" t="n">
        <x:v>40</x:v>
      </x:c>
      <x:c r="J28" s="184" t="n">
        <x:v>0</x:v>
      </x:c>
      <x:c r="K28" s="184" t="n">
        <x:v>0</x:v>
      </x:c>
      <x:c r="L28" s="184" t="n">
        <x:v>0</x:v>
      </x:c>
      <x:c r="M28" s="184" t="n">
        <x:v>0</x:v>
      </x:c>
      <x:c r="N28" s="186" t="n">
        <x:v>40</x:v>
      </x:c>
      <x:c r="O28" s="186" t="n">
        <x:v>40</x:v>
      </x:c>
      <x:c r="P28" s="186" t="n">
        <x:v>50</x:v>
      </x:c>
      <x:c r="Q28" s="186" t="n">
        <x:v>35</x:v>
      </x:c>
      <x:c r="R28" s="186" t="n">
        <x:v>35</x:v>
      </x:c>
      <x:c r="S28" s="186" t="n">
        <x:v>50</x:v>
      </x:c>
      <x:c r="T28" s="186" t="n">
        <x:v>50</x:v>
      </x:c>
      <x:c r="U28" s="186" t="n">
        <x:v>35</x:v>
      </x:c>
      <x:c r="V28" s="186" t="n">
        <x:v>40</x:v>
      </x:c>
      <x:c r="W28" s="186" t="n">
        <x:v>40</x:v>
      </x:c>
      <x:c r="X28" s="186" t="n">
        <x:v>40</x:v>
      </x:c>
      <x:c r="Y28" s="186" t="n">
        <x:v>45</x:v>
      </x:c>
      <x:c r="Z28" s="186" t="n">
        <x:v>45</x:v>
      </x:c>
      <x:c r="AA28" s="186" t="n">
        <x:v>40</x:v>
      </x:c>
      <x:c r="AB28" s="186" t="n">
        <x:v>45</x:v>
      </x:c>
      <x:c r="AC28" s="186" t="n">
        <x:v>45</x:v>
      </x:c>
      <x:c r="AD28" s="186" t="n">
        <x:v>50</x:v>
      </x:c>
      <x:c r="AE28" s="186" t="n">
        <x:v>45</x:v>
      </x:c>
      <x:c r="AF28" s="186" t="n">
        <x:v>40</x:v>
      </x:c>
      <x:c r="AG28" s="186" t="n">
        <x:v>45</x:v>
      </x:c>
      <x:c r="AH28" s="186" t="n">
        <x:v>45</x:v>
      </x:c>
      <x:c r="AI28" s="188" t="n">
        <x:f>SUM(D28:AH28)</x:f>
        <x:v>1040</x:v>
      </x:c>
      <x:c r="AJ28" s="196" t="n">
        <x:f>D28*'Daftar Produk &amp; Harga'!$C$4+E28*'Daftar Produk &amp; Harga'!$C$5+F28*'Daftar Produk &amp; Harga'!$C$6+G28*'Daftar Produk &amp; Harga'!$C$7+H28*'Daftar Produk &amp; Harga'!$C$8+I28*'Daftar Produk &amp; Harga'!$C$9+J28*'Daftar Produk &amp; Harga'!$C$10+K28*'Daftar Produk &amp; Harga'!$C$11+L28*'Daftar Produk &amp; Harga'!$C$12+M28*'Daftar Produk &amp; Harga'!$C$13+N28*'Daftar Produk &amp; Harga'!$C$14+O28*'Daftar Produk &amp; Harga'!$C$15+P28*'Daftar Produk &amp; Harga'!$C$16+Q28*'Daftar Produk &amp; Harga'!$C$17+R28*'Daftar Produk &amp; Harga'!$C$18+S28*'Daftar Produk &amp; Harga'!$C$19+T28*'Daftar Produk &amp; Harga'!$C$20+U28*'Daftar Produk &amp; Harga'!$C$21+V28*'Daftar Produk &amp; Harga'!$C$22+W28*'Daftar Produk &amp; Harga'!$C$23+X28*'Daftar Produk &amp; Harga'!$C$24+Y28*'Daftar Produk &amp; Harga'!$C$25+Z28*'Daftar Produk &amp; Harga'!$C$26+AA28*'Daftar Produk &amp; Harga'!$C$27+AB28*'Daftar Produk &amp; Harga'!$C$28+AC28*'Daftar Produk &amp; Harga'!$C$29+AD28*'Daftar Produk &amp; Harga'!$C$30+AE28*'Daftar Produk &amp; Harga'!$C$31+AF28*'Daftar Produk &amp; Harga'!$C$32+AG28*'Daftar Produk &amp; Harga'!$C$33+AH28*'Daftar Produk &amp; Harga'!$C$34</x:f>
        <x:v>34485000</x:v>
      </x:c>
    </x:row>
    <x:row r="29" ht="18" customHeight="1">
      <x:c r="A29" s="178" t="n">
        <x:v>26</x:v>
      </x:c>
      <x:c r="B29" s="179" t="n">
        <x:v>46048</x:v>
      </x:c>
      <x:c r="C29" s="178" t="str">
        <x:v>Senin</x:v>
      </x:c>
      <x:c r="D29" s="184" t="n">
        <x:v>0</x:v>
      </x:c>
      <x:c r="E29" s="184" t="n">
        <x:v>0</x:v>
      </x:c>
      <x:c r="F29" s="184" t="n">
        <x:v>0</x:v>
      </x:c>
      <x:c r="G29" s="184" t="n">
        <x:v>60</x:v>
      </x:c>
      <x:c r="H29" s="184" t="n">
        <x:v>0</x:v>
      </x:c>
      <x:c r="I29" s="184" t="n">
        <x:v>45</x:v>
      </x:c>
      <x:c r="J29" s="184" t="n">
        <x:v>0</x:v>
      </x:c>
      <x:c r="K29" s="184" t="n">
        <x:v>40</x:v>
      </x:c>
      <x:c r="L29" s="184" t="n">
        <x:v>0</x:v>
      </x:c>
      <x:c r="M29" s="184" t="n">
        <x:v>0</x:v>
      </x:c>
      <x:c r="N29" s="186" t="n">
        <x:v>40</x:v>
      </x:c>
      <x:c r="O29" s="186" t="n">
        <x:v>35</x:v>
      </x:c>
      <x:c r="P29" s="186" t="n">
        <x:v>35</x:v>
      </x:c>
      <x:c r="Q29" s="186" t="n">
        <x:v>30</x:v>
      </x:c>
      <x:c r="R29" s="186" t="n">
        <x:v>30</x:v>
      </x:c>
      <x:c r="S29" s="186" t="n">
        <x:v>30</x:v>
      </x:c>
      <x:c r="T29" s="186" t="n">
        <x:v>30</x:v>
      </x:c>
      <x:c r="U29" s="186" t="n">
        <x:v>30</x:v>
      </x:c>
      <x:c r="V29" s="186" t="n">
        <x:v>40</x:v>
      </x:c>
      <x:c r="W29" s="186" t="n">
        <x:v>40</x:v>
      </x:c>
      <x:c r="X29" s="186" t="n">
        <x:v>30</x:v>
      </x:c>
      <x:c r="Y29" s="186" t="n">
        <x:v>40</x:v>
      </x:c>
      <x:c r="Z29" s="186" t="n">
        <x:v>30</x:v>
      </x:c>
      <x:c r="AA29" s="186" t="n">
        <x:v>40</x:v>
      </x:c>
      <x:c r="AB29" s="186" t="n">
        <x:v>40</x:v>
      </x:c>
      <x:c r="AC29" s="186" t="n">
        <x:v>35</x:v>
      </x:c>
      <x:c r="AD29" s="186" t="n">
        <x:v>35</x:v>
      </x:c>
      <x:c r="AE29" s="186" t="n">
        <x:v>40</x:v>
      </x:c>
      <x:c r="AF29" s="186" t="n">
        <x:v>40</x:v>
      </x:c>
      <x:c r="AG29" s="186" t="n">
        <x:v>40</x:v>
      </x:c>
      <x:c r="AH29" s="186" t="n">
        <x:v>40</x:v>
      </x:c>
      <x:c r="AI29" s="188" t="n">
        <x:f>SUM(D29:AH29)</x:f>
        <x:v>895</x:v>
      </x:c>
      <x:c r="AJ29" s="196" t="n">
        <x:f>D29*'Daftar Produk &amp; Harga'!$C$4+E29*'Daftar Produk &amp; Harga'!$C$5+F29*'Daftar Produk &amp; Harga'!$C$6+G29*'Daftar Produk &amp; Harga'!$C$7+H29*'Daftar Produk &amp; Harga'!$C$8+I29*'Daftar Produk &amp; Harga'!$C$9+J29*'Daftar Produk &amp; Harga'!$C$10+K29*'Daftar Produk &amp; Harga'!$C$11+L29*'Daftar Produk &amp; Harga'!$C$12+M29*'Daftar Produk &amp; Harga'!$C$13+N29*'Daftar Produk &amp; Harga'!$C$14+O29*'Daftar Produk &amp; Harga'!$C$15+P29*'Daftar Produk &amp; Harga'!$C$16+Q29*'Daftar Produk &amp; Harga'!$C$17+R29*'Daftar Produk &amp; Harga'!$C$18+S29*'Daftar Produk &amp; Harga'!$C$19+T29*'Daftar Produk &amp; Harga'!$C$20+U29*'Daftar Produk &amp; Harga'!$C$21+V29*'Daftar Produk &amp; Harga'!$C$22+W29*'Daftar Produk &amp; Harga'!$C$23+X29*'Daftar Produk &amp; Harga'!$C$24+Y29*'Daftar Produk &amp; Harga'!$C$25+Z29*'Daftar Produk &amp; Harga'!$C$26+AA29*'Daftar Produk &amp; Harga'!$C$27+AB29*'Daftar Produk &amp; Harga'!$C$28+AC29*'Daftar Produk &amp; Harga'!$C$29+AD29*'Daftar Produk &amp; Harga'!$C$30+AE29*'Daftar Produk &amp; Harga'!$C$31+AF29*'Daftar Produk &amp; Harga'!$C$32+AG29*'Daftar Produk &amp; Harga'!$C$33+AH29*'Daftar Produk &amp; Harga'!$C$34</x:f>
        <x:v>30610000</x:v>
      </x:c>
    </x:row>
    <x:row r="30" ht="18" customHeight="1">
      <x:c r="A30" s="178" t="n">
        <x:v>27</x:v>
      </x:c>
      <x:c r="B30" s="179" t="n">
        <x:v>46049</x:v>
      </x:c>
      <x:c r="C30" s="178" t="str">
        <x:v>Selasa</x:v>
      </x:c>
      <x:c r="D30" s="184" t="n">
        <x:v>40</x:v>
      </x:c>
      <x:c r="E30" s="184" t="n">
        <x:v>0</x:v>
      </x:c>
      <x:c r="F30" s="184" t="n">
        <x:v>0</x:v>
      </x:c>
      <x:c r="G30" s="184" t="n">
        <x:v>0</x:v>
      </x:c>
      <x:c r="H30" s="184" t="n">
        <x:v>0</x:v>
      </x:c>
      <x:c r="I30" s="184" t="n">
        <x:v>50</x:v>
      </x:c>
      <x:c r="J30" s="184" t="n">
        <x:v>0</x:v>
      </x:c>
      <x:c r="K30" s="184" t="n">
        <x:v>50</x:v>
      </x:c>
      <x:c r="L30" s="184" t="n">
        <x:v>0</x:v>
      </x:c>
      <x:c r="M30" s="184" t="n">
        <x:v>0</x:v>
      </x:c>
      <x:c r="N30" s="186" t="n">
        <x:v>40</x:v>
      </x:c>
      <x:c r="O30" s="186" t="n">
        <x:v>40</x:v>
      </x:c>
      <x:c r="P30" s="186" t="n">
        <x:v>30</x:v>
      </x:c>
      <x:c r="Q30" s="186" t="n">
        <x:v>35</x:v>
      </x:c>
      <x:c r="R30" s="186" t="n">
        <x:v>30</x:v>
      </x:c>
      <x:c r="S30" s="186" t="n">
        <x:v>35</x:v>
      </x:c>
      <x:c r="T30" s="186" t="n">
        <x:v>35</x:v>
      </x:c>
      <x:c r="U30" s="186" t="n">
        <x:v>35</x:v>
      </x:c>
      <x:c r="V30" s="186" t="n">
        <x:v>40</x:v>
      </x:c>
      <x:c r="W30" s="186" t="n">
        <x:v>35</x:v>
      </x:c>
      <x:c r="X30" s="186" t="n">
        <x:v>35</x:v>
      </x:c>
      <x:c r="Y30" s="186" t="n">
        <x:v>35</x:v>
      </x:c>
      <x:c r="Z30" s="186" t="n">
        <x:v>30</x:v>
      </x:c>
      <x:c r="AA30" s="186" t="n">
        <x:v>35</x:v>
      </x:c>
      <x:c r="AB30" s="186" t="n">
        <x:v>40</x:v>
      </x:c>
      <x:c r="AC30" s="186" t="n">
        <x:v>35</x:v>
      </x:c>
      <x:c r="AD30" s="186" t="n">
        <x:v>30</x:v>
      </x:c>
      <x:c r="AE30" s="186" t="n">
        <x:v>30</x:v>
      </x:c>
      <x:c r="AF30" s="186" t="n">
        <x:v>35</x:v>
      </x:c>
      <x:c r="AG30" s="186" t="n">
        <x:v>40</x:v>
      </x:c>
      <x:c r="AH30" s="186" t="n">
        <x:v>40</x:v>
      </x:c>
      <x:c r="AI30" s="188" t="n">
        <x:f>SUM(D30:AH30)</x:f>
        <x:v>880</x:v>
      </x:c>
      <x:c r="AJ30" s="196" t="n">
        <x:f>D30*'Daftar Produk &amp; Harga'!$C$4+E30*'Daftar Produk &amp; Harga'!$C$5+F30*'Daftar Produk &amp; Harga'!$C$6+G30*'Daftar Produk &amp; Harga'!$C$7+H30*'Daftar Produk &amp; Harga'!$C$8+I30*'Daftar Produk &amp; Harga'!$C$9+J30*'Daftar Produk &amp; Harga'!$C$10+K30*'Daftar Produk &amp; Harga'!$C$11+L30*'Daftar Produk &amp; Harga'!$C$12+M30*'Daftar Produk &amp; Harga'!$C$13+N30*'Daftar Produk &amp; Harga'!$C$14+O30*'Daftar Produk &amp; Harga'!$C$15+P30*'Daftar Produk &amp; Harga'!$C$16+Q30*'Daftar Produk &amp; Harga'!$C$17+R30*'Daftar Produk &amp; Harga'!$C$18+S30*'Daftar Produk &amp; Harga'!$C$19+T30*'Daftar Produk &amp; Harga'!$C$20+U30*'Daftar Produk &amp; Harga'!$C$21+V30*'Daftar Produk &amp; Harga'!$C$22+W30*'Daftar Produk &amp; Harga'!$C$23+X30*'Daftar Produk &amp; Harga'!$C$24+Y30*'Daftar Produk &amp; Harga'!$C$25+Z30*'Daftar Produk &amp; Harga'!$C$26+AA30*'Daftar Produk &amp; Harga'!$C$27+AB30*'Daftar Produk &amp; Harga'!$C$28+AC30*'Daftar Produk &amp; Harga'!$C$29+AD30*'Daftar Produk &amp; Harga'!$C$30+AE30*'Daftar Produk &amp; Harga'!$C$31+AF30*'Daftar Produk &amp; Harga'!$C$32+AG30*'Daftar Produk &amp; Harga'!$C$33+AH30*'Daftar Produk &amp; Harga'!$C$34</x:f>
        <x:v>29060000</x:v>
      </x:c>
    </x:row>
    <x:row r="31" ht="18" customHeight="1">
      <x:c r="A31" s="178" t="n">
        <x:v>28</x:v>
      </x:c>
      <x:c r="B31" s="179" t="n">
        <x:v>46050</x:v>
      </x:c>
      <x:c r="C31" s="178" t="str">
        <x:v>Rabu</x:v>
      </x:c>
      <x:c r="D31" s="184" t="n">
        <x:v>40</x:v>
      </x:c>
      <x:c r="E31" s="184" t="n">
        <x:v>0</x:v>
      </x:c>
      <x:c r="F31" s="184" t="n">
        <x:v>0</x:v>
      </x:c>
      <x:c r="G31" s="184" t="n">
        <x:v>0</x:v>
      </x:c>
      <x:c r="H31" s="184" t="n">
        <x:v>0</x:v>
      </x:c>
      <x:c r="I31" s="184" t="n">
        <x:v>50</x:v>
      </x:c>
      <x:c r="J31" s="184" t="n">
        <x:v>40</x:v>
      </x:c>
      <x:c r="K31" s="184" t="n">
        <x:v>50</x:v>
      </x:c>
      <x:c r="L31" s="184" t="n">
        <x:v>0</x:v>
      </x:c>
      <x:c r="M31" s="184" t="n">
        <x:v>0</x:v>
      </x:c>
      <x:c r="N31" s="186" t="n">
        <x:v>35</x:v>
      </x:c>
      <x:c r="O31" s="186" t="n">
        <x:v>30</x:v>
      </x:c>
      <x:c r="P31" s="186" t="n">
        <x:v>35</x:v>
      </x:c>
      <x:c r="Q31" s="186" t="n">
        <x:v>30</x:v>
      </x:c>
      <x:c r="R31" s="186" t="n">
        <x:v>30</x:v>
      </x:c>
      <x:c r="S31" s="186" t="n">
        <x:v>30</x:v>
      </x:c>
      <x:c r="T31" s="186" t="n">
        <x:v>40</x:v>
      </x:c>
      <x:c r="U31" s="186" t="n">
        <x:v>40</x:v>
      </x:c>
      <x:c r="V31" s="186" t="n">
        <x:v>40</x:v>
      </x:c>
      <x:c r="W31" s="186" t="n">
        <x:v>40</x:v>
      </x:c>
      <x:c r="X31" s="186" t="n">
        <x:v>35</x:v>
      </x:c>
      <x:c r="Y31" s="186" t="n">
        <x:v>40</x:v>
      </x:c>
      <x:c r="Z31" s="186" t="n">
        <x:v>35</x:v>
      </x:c>
      <x:c r="AA31" s="186" t="n">
        <x:v>30</x:v>
      </x:c>
      <x:c r="AB31" s="186" t="n">
        <x:v>40</x:v>
      </x:c>
      <x:c r="AC31" s="186" t="n">
        <x:v>35</x:v>
      </x:c>
      <x:c r="AD31" s="186" t="n">
        <x:v>30</x:v>
      </x:c>
      <x:c r="AE31" s="186" t="n">
        <x:v>35</x:v>
      </x:c>
      <x:c r="AF31" s="186" t="n">
        <x:v>30</x:v>
      </x:c>
      <x:c r="AG31" s="186" t="n">
        <x:v>35</x:v>
      </x:c>
      <x:c r="AH31" s="186" t="n">
        <x:v>35</x:v>
      </x:c>
      <x:c r="AI31" s="188" t="n">
        <x:f>SUM(D31:AH31)</x:f>
        <x:v>910</x:v>
      </x:c>
      <x:c r="AJ31" s="196" t="n">
        <x:f>D31*'Daftar Produk &amp; Harga'!$C$4+E31*'Daftar Produk &amp; Harga'!$C$5+F31*'Daftar Produk &amp; Harga'!$C$6+G31*'Daftar Produk &amp; Harga'!$C$7+H31*'Daftar Produk &amp; Harga'!$C$8+I31*'Daftar Produk &amp; Harga'!$C$9+J31*'Daftar Produk &amp; Harga'!$C$10+K31*'Daftar Produk &amp; Harga'!$C$11+L31*'Daftar Produk &amp; Harga'!$C$12+M31*'Daftar Produk &amp; Harga'!$C$13+N31*'Daftar Produk &amp; Harga'!$C$14+O31*'Daftar Produk &amp; Harga'!$C$15+P31*'Daftar Produk &amp; Harga'!$C$16+Q31*'Daftar Produk &amp; Harga'!$C$17+R31*'Daftar Produk &amp; Harga'!$C$18+S31*'Daftar Produk &amp; Harga'!$C$19+T31*'Daftar Produk &amp; Harga'!$C$20+U31*'Daftar Produk &amp; Harga'!$C$21+V31*'Daftar Produk &amp; Harga'!$C$22+W31*'Daftar Produk &amp; Harga'!$C$23+X31*'Daftar Produk &amp; Harga'!$C$24+Y31*'Daftar Produk &amp; Harga'!$C$25+Z31*'Daftar Produk &amp; Harga'!$C$26+AA31*'Daftar Produk &amp; Harga'!$C$27+AB31*'Daftar Produk &amp; Harga'!$C$28+AC31*'Daftar Produk &amp; Harga'!$C$29+AD31*'Daftar Produk &amp; Harga'!$C$30+AE31*'Daftar Produk &amp; Harga'!$C$31+AF31*'Daftar Produk &amp; Harga'!$C$32+AG31*'Daftar Produk &amp; Harga'!$C$33+AH31*'Daftar Produk &amp; Harga'!$C$34</x:f>
        <x:v>30510000</x:v>
      </x:c>
    </x:row>
    <x:row r="32" ht="18" customHeight="1">
      <x:c r="A32" s="178" t="n">
        <x:v>29</x:v>
      </x:c>
      <x:c r="B32" s="179" t="n">
        <x:v>46051</x:v>
      </x:c>
      <x:c r="C32" s="178" t="str">
        <x:v>Kamis</x:v>
      </x:c>
      <x:c r="D32" s="184" t="n">
        <x:v>45</x:v>
      </x:c>
      <x:c r="E32" s="184" t="n">
        <x:v>0</x:v>
      </x:c>
      <x:c r="F32" s="184" t="n">
        <x:v>50</x:v>
      </x:c>
      <x:c r="G32" s="184" t="n">
        <x:v>0</x:v>
      </x:c>
      <x:c r="H32" s="184" t="n">
        <x:v>0</x:v>
      </x:c>
      <x:c r="I32" s="184" t="n">
        <x:v>0</x:v>
      </x:c>
      <x:c r="J32" s="184" t="n">
        <x:v>40</x:v>
      </x:c>
      <x:c r="K32" s="184" t="n">
        <x:v>50</x:v>
      </x:c>
      <x:c r="L32" s="184" t="n">
        <x:v>0</x:v>
      </x:c>
      <x:c r="M32" s="184" t="n">
        <x:v>80</x:v>
      </x:c>
      <x:c r="N32" s="186" t="n">
        <x:v>40</x:v>
      </x:c>
      <x:c r="O32" s="186" t="n">
        <x:v>30</x:v>
      </x:c>
      <x:c r="P32" s="186" t="n">
        <x:v>40</x:v>
      </x:c>
      <x:c r="Q32" s="186" t="n">
        <x:v>35</x:v>
      </x:c>
      <x:c r="R32" s="186" t="n">
        <x:v>40</x:v>
      </x:c>
      <x:c r="S32" s="186" t="n">
        <x:v>30</x:v>
      </x:c>
      <x:c r="T32" s="186" t="n">
        <x:v>35</x:v>
      </x:c>
      <x:c r="U32" s="186" t="n">
        <x:v>40</x:v>
      </x:c>
      <x:c r="V32" s="186" t="n">
        <x:v>40</x:v>
      </x:c>
      <x:c r="W32" s="186" t="n">
        <x:v>40</x:v>
      </x:c>
      <x:c r="X32" s="186" t="n">
        <x:v>40</x:v>
      </x:c>
      <x:c r="Y32" s="186" t="n">
        <x:v>30</x:v>
      </x:c>
      <x:c r="Z32" s="186" t="n">
        <x:v>40</x:v>
      </x:c>
      <x:c r="AA32" s="186" t="n">
        <x:v>35</x:v>
      </x:c>
      <x:c r="AB32" s="186" t="n">
        <x:v>40</x:v>
      </x:c>
      <x:c r="AC32" s="186" t="n">
        <x:v>40</x:v>
      </x:c>
      <x:c r="AD32" s="186" t="n">
        <x:v>35</x:v>
      </x:c>
      <x:c r="AE32" s="186" t="n">
        <x:v>30</x:v>
      </x:c>
      <x:c r="AF32" s="186" t="n">
        <x:v>40</x:v>
      </x:c>
      <x:c r="AG32" s="186" t="n">
        <x:v>30</x:v>
      </x:c>
      <x:c r="AH32" s="186" t="n">
        <x:v>30</x:v>
      </x:c>
      <x:c r="AI32" s="188" t="n">
        <x:f>SUM(D32:AH32)</x:f>
        <x:v>1025</x:v>
      </x:c>
      <x:c r="AJ32" s="196" t="n">
        <x:f>D32*'Daftar Produk &amp; Harga'!$C$4+E32*'Daftar Produk &amp; Harga'!$C$5+F32*'Daftar Produk &amp; Harga'!$C$6+G32*'Daftar Produk &amp; Harga'!$C$7+H32*'Daftar Produk &amp; Harga'!$C$8+I32*'Daftar Produk &amp; Harga'!$C$9+J32*'Daftar Produk &amp; Harga'!$C$10+K32*'Daftar Produk &amp; Harga'!$C$11+L32*'Daftar Produk &amp; Harga'!$C$12+M32*'Daftar Produk &amp; Harga'!$C$13+N32*'Daftar Produk &amp; Harga'!$C$14+O32*'Daftar Produk &amp; Harga'!$C$15+P32*'Daftar Produk &amp; Harga'!$C$16+Q32*'Daftar Produk &amp; Harga'!$C$17+R32*'Daftar Produk &amp; Harga'!$C$18+S32*'Daftar Produk &amp; Harga'!$C$19+T32*'Daftar Produk &amp; Harga'!$C$20+U32*'Daftar Produk &amp; Harga'!$C$21+V32*'Daftar Produk &amp; Harga'!$C$22+W32*'Daftar Produk &amp; Harga'!$C$23+X32*'Daftar Produk &amp; Harga'!$C$24+Y32*'Daftar Produk &amp; Harga'!$C$25+Z32*'Daftar Produk &amp; Harga'!$C$26+AA32*'Daftar Produk &amp; Harga'!$C$27+AB32*'Daftar Produk &amp; Harga'!$C$28+AC32*'Daftar Produk &amp; Harga'!$C$29+AD32*'Daftar Produk &amp; Harga'!$C$30+AE32*'Daftar Produk &amp; Harga'!$C$31+AF32*'Daftar Produk &amp; Harga'!$C$32+AG32*'Daftar Produk &amp; Harga'!$C$33+AH32*'Daftar Produk &amp; Harga'!$C$34</x:f>
        <x:v>33730000</x:v>
      </x:c>
    </x:row>
    <x:row r="33" ht="18" customHeight="1">
      <x:c r="A33" s="178" t="n">
        <x:v>30</x:v>
      </x:c>
      <x:c r="B33" s="179" t="n">
        <x:v>46052</x:v>
      </x:c>
      <x:c r="C33" s="178" t="str">
        <x:v>Jumat</x:v>
      </x:c>
      <x:c r="D33" s="184" t="n">
        <x:v>50</x:v>
      </x:c>
      <x:c r="E33" s="184" t="n">
        <x:v>0</x:v>
      </x:c>
      <x:c r="F33" s="184" t="n">
        <x:v>50</x:v>
      </x:c>
      <x:c r="G33" s="184" t="n">
        <x:v>0</x:v>
      </x:c>
      <x:c r="H33" s="184" t="n">
        <x:v>80</x:v>
      </x:c>
      <x:c r="I33" s="184" t="n">
        <x:v>0</x:v>
      </x:c>
      <x:c r="J33" s="184" t="n">
        <x:v>40</x:v>
      </x:c>
      <x:c r="K33" s="184" t="n">
        <x:v>50</x:v>
      </x:c>
      <x:c r="L33" s="184" t="n">
        <x:v>0</x:v>
      </x:c>
      <x:c r="M33" s="184" t="n">
        <x:v>80</x:v>
      </x:c>
      <x:c r="N33" s="186" t="n">
        <x:v>40</x:v>
      </x:c>
      <x:c r="O33" s="186" t="n">
        <x:v>35</x:v>
      </x:c>
      <x:c r="P33" s="186" t="n">
        <x:v>40</x:v>
      </x:c>
      <x:c r="Q33" s="186" t="n">
        <x:v>40</x:v>
      </x:c>
      <x:c r="R33" s="186" t="n">
        <x:v>35</x:v>
      </x:c>
      <x:c r="S33" s="186" t="n">
        <x:v>30</x:v>
      </x:c>
      <x:c r="T33" s="186" t="n">
        <x:v>30</x:v>
      </x:c>
      <x:c r="U33" s="186" t="n">
        <x:v>30</x:v>
      </x:c>
      <x:c r="V33" s="186" t="n">
        <x:v>35</x:v>
      </x:c>
      <x:c r="W33" s="186" t="n">
        <x:v>40</x:v>
      </x:c>
      <x:c r="X33" s="186" t="n">
        <x:v>30</x:v>
      </x:c>
      <x:c r="Y33" s="186" t="n">
        <x:v>35</x:v>
      </x:c>
      <x:c r="Z33" s="186" t="n">
        <x:v>30</x:v>
      </x:c>
      <x:c r="AA33" s="186" t="n">
        <x:v>30</x:v>
      </x:c>
      <x:c r="AB33" s="186" t="n">
        <x:v>40</x:v>
      </x:c>
      <x:c r="AC33" s="186" t="n">
        <x:v>40</x:v>
      </x:c>
      <x:c r="AD33" s="186" t="n">
        <x:v>35</x:v>
      </x:c>
      <x:c r="AE33" s="186" t="n">
        <x:v>40</x:v>
      </x:c>
      <x:c r="AF33" s="186" t="n">
        <x:v>40</x:v>
      </x:c>
      <x:c r="AG33" s="186" t="n">
        <x:v>35</x:v>
      </x:c>
      <x:c r="AH33" s="186" t="n">
        <x:v>35</x:v>
      </x:c>
      <x:c r="AI33" s="188" t="n">
        <x:f>SUM(D33:AH33)</x:f>
        <x:v>1095</x:v>
      </x:c>
      <x:c r="AJ33" s="196" t="n">
        <x:f>D33*'Daftar Produk &amp; Harga'!$C$4+E33*'Daftar Produk &amp; Harga'!$C$5+F33*'Daftar Produk &amp; Harga'!$C$6+G33*'Daftar Produk &amp; Harga'!$C$7+H33*'Daftar Produk &amp; Harga'!$C$8+I33*'Daftar Produk &amp; Harga'!$C$9+J33*'Daftar Produk &amp; Harga'!$C$10+K33*'Daftar Produk &amp; Harga'!$C$11+L33*'Daftar Produk &amp; Harga'!$C$12+M33*'Daftar Produk &amp; Harga'!$C$13+N33*'Daftar Produk &amp; Harga'!$C$14+O33*'Daftar Produk &amp; Harga'!$C$15+P33*'Daftar Produk &amp; Harga'!$C$16+Q33*'Daftar Produk &amp; Harga'!$C$17+R33*'Daftar Produk &amp; Harga'!$C$18+S33*'Daftar Produk &amp; Harga'!$C$19+T33*'Daftar Produk &amp; Harga'!$C$20+U33*'Daftar Produk &amp; Harga'!$C$21+V33*'Daftar Produk &amp; Harga'!$C$22+W33*'Daftar Produk &amp; Harga'!$C$23+X33*'Daftar Produk &amp; Harga'!$C$24+Y33*'Daftar Produk &amp; Harga'!$C$25+Z33*'Daftar Produk &amp; Harga'!$C$26+AA33*'Daftar Produk &amp; Harga'!$C$27+AB33*'Daftar Produk &amp; Harga'!$C$28+AC33*'Daftar Produk &amp; Harga'!$C$29+AD33*'Daftar Produk &amp; Harga'!$C$30+AE33*'Daftar Produk &amp; Harga'!$C$31+AF33*'Daftar Produk &amp; Harga'!$C$32+AG33*'Daftar Produk &amp; Harga'!$C$33+AH33*'Daftar Produk &amp; Harga'!$C$34</x:f>
        <x:v>35920000</x:v>
      </x:c>
    </x:row>
    <x:row r="34" ht="18" customHeight="1">
      <x:c r="A34" s="178" t="n">
        <x:v>31</x:v>
      </x:c>
      <x:c r="B34" s="179" t="n">
        <x:v>46053</x:v>
      </x:c>
      <x:c r="C34" s="178" t="str">
        <x:v>Sabtu</x:v>
      </x:c>
      <x:c r="D34" s="184" t="n">
        <x:v>0</x:v>
      </x:c>
      <x:c r="E34" s="184" t="n">
        <x:v>0</x:v>
      </x:c>
      <x:c r="F34" s="184" t="n">
        <x:v>50</x:v>
      </x:c>
      <x:c r="G34" s="184" t="n">
        <x:v>0</x:v>
      </x:c>
      <x:c r="H34" s="184" t="n">
        <x:v>90</x:v>
      </x:c>
      <x:c r="I34" s="184" t="n">
        <x:v>0</x:v>
      </x:c>
      <x:c r="J34" s="184" t="n">
        <x:v>50</x:v>
      </x:c>
      <x:c r="K34" s="184" t="n">
        <x:v>0</x:v>
      </x:c>
      <x:c r="L34" s="184" t="n">
        <x:v>150</x:v>
      </x:c>
      <x:c r="M34" s="184" t="n">
        <x:v>80</x:v>
      </x:c>
      <x:c r="N34" s="186" t="n">
        <x:v>50</x:v>
      </x:c>
      <x:c r="O34" s="186" t="n">
        <x:v>40</x:v>
      </x:c>
      <x:c r="P34" s="186" t="n">
        <x:v>45</x:v>
      </x:c>
      <x:c r="Q34" s="186" t="n">
        <x:v>45</x:v>
      </x:c>
      <x:c r="R34" s="186" t="n">
        <x:v>35</x:v>
      </x:c>
      <x:c r="S34" s="186" t="n">
        <x:v>50</x:v>
      </x:c>
      <x:c r="T34" s="186" t="n">
        <x:v>45</x:v>
      </x:c>
      <x:c r="U34" s="186" t="n">
        <x:v>45</x:v>
      </x:c>
      <x:c r="V34" s="186" t="n">
        <x:v>45</x:v>
      </x:c>
      <x:c r="W34" s="186" t="n">
        <x:v>35</x:v>
      </x:c>
      <x:c r="X34" s="186" t="n">
        <x:v>35</x:v>
      </x:c>
      <x:c r="Y34" s="186" t="n">
        <x:v>40</x:v>
      </x:c>
      <x:c r="Z34" s="186" t="n">
        <x:v>40</x:v>
      </x:c>
      <x:c r="AA34" s="186" t="n">
        <x:v>35</x:v>
      </x:c>
      <x:c r="AB34" s="186" t="n">
        <x:v>45</x:v>
      </x:c>
      <x:c r="AC34" s="186" t="n">
        <x:v>45</x:v>
      </x:c>
      <x:c r="AD34" s="186" t="n">
        <x:v>40</x:v>
      </x:c>
      <x:c r="AE34" s="186" t="n">
        <x:v>40</x:v>
      </x:c>
      <x:c r="AF34" s="186" t="n">
        <x:v>50</x:v>
      </x:c>
      <x:c r="AG34" s="186" t="n">
        <x:v>45</x:v>
      </x:c>
      <x:c r="AH34" s="186" t="n">
        <x:v>50</x:v>
      </x:c>
      <x:c r="AI34" s="188" t="n">
        <x:f>SUM(D34:AH34)</x:f>
        <x:v>1320</x:v>
      </x:c>
      <x:c r="AJ34" s="196" t="n">
        <x:f>D34*'Daftar Produk &amp; Harga'!$C$4+E34*'Daftar Produk &amp; Harga'!$C$5+F34*'Daftar Produk &amp; Harga'!$C$6+G34*'Daftar Produk &amp; Harga'!$C$7+H34*'Daftar Produk &amp; Harga'!$C$8+I34*'Daftar Produk &amp; Harga'!$C$9+J34*'Daftar Produk &amp; Harga'!$C$10+K34*'Daftar Produk &amp; Harga'!$C$11+L34*'Daftar Produk &amp; Harga'!$C$12+M34*'Daftar Produk &amp; Harga'!$C$13+N34*'Daftar Produk &amp; Harga'!$C$14+O34*'Daftar Produk &amp; Harga'!$C$15+P34*'Daftar Produk &amp; Harga'!$C$16+Q34*'Daftar Produk &amp; Harga'!$C$17+R34*'Daftar Produk &amp; Harga'!$C$18+S34*'Daftar Produk &amp; Harga'!$C$19+T34*'Daftar Produk &amp; Harga'!$C$20+U34*'Daftar Produk &amp; Harga'!$C$21+V34*'Daftar Produk &amp; Harga'!$C$22+W34*'Daftar Produk &amp; Harga'!$C$23+X34*'Daftar Produk &amp; Harga'!$C$24+Y34*'Daftar Produk &amp; Harga'!$C$25+Z34*'Daftar Produk &amp; Harga'!$C$26+AA34*'Daftar Produk &amp; Harga'!$C$27+AB34*'Daftar Produk &amp; Harga'!$C$28+AC34*'Daftar Produk &amp; Harga'!$C$29+AD34*'Daftar Produk &amp; Harga'!$C$30+AE34*'Daftar Produk &amp; Harga'!$C$31+AF34*'Daftar Produk &amp; Harga'!$C$32+AG34*'Daftar Produk &amp; Harga'!$C$33+AH34*'Daftar Produk &amp; Harga'!$C$34</x:f>
        <x:v>44315000</x:v>
      </x:c>
    </x:row>
    <x:row r="35">
      <x:c r="A35" s="61" t="str">
        <x:v>TOTAL JANUARI 2026</x:v>
      </x:c>
      <x:c r="B35" s="61"/>
      <x:c r="C35" s="61"/>
      <x:c r="D35" s="62" t="n">
        <x:f>SUM(D4:D34)</x:f>
        <x:v>500</x:v>
      </x:c>
      <x:c r="E35" s="62" t="n">
        <x:f>SUM(E4:E34)</x:f>
        <x:v>400</x:v>
      </x:c>
      <x:c r="F35" s="62" t="n">
        <x:f>SUM(F4:F34)</x:f>
        <x:v>400</x:v>
      </x:c>
      <x:c r="G35" s="62" t="n">
        <x:f>SUM(G4:G34)</x:f>
        <x:v>200</x:v>
      </x:c>
      <x:c r="H35" s="62" t="n">
        <x:f>SUM(H4:H34)</x:f>
        <x:v>500</x:v>
      </x:c>
      <x:c r="I35" s="62" t="n">
        <x:f>SUM(I4:I34)</x:f>
        <x:v>400</x:v>
      </x:c>
      <x:c r="J35" s="62" t="n">
        <x:f>SUM(J4:J34)</x:f>
        <x:v>500</x:v>
      </x:c>
      <x:c r="K35" s="62" t="n">
        <x:f>SUM(K4:K34)</x:f>
        <x:v>500</x:v>
      </x:c>
      <x:c r="L35" s="62" t="n">
        <x:f>SUM(L4:L34)</x:f>
        <x:v>400</x:v>
      </x:c>
      <x:c r="M35" s="62" t="n">
        <x:f>SUM(M4:M34)</x:f>
        <x:v>700</x:v>
      </x:c>
      <x:c r="N35" s="62" t="n">
        <x:f>SUM(N4:N34)</x:f>
        <x:v>1175</x:v>
      </x:c>
      <x:c r="O35" s="62" t="n">
        <x:f>SUM(O4:O34)</x:f>
        <x:v>1165</x:v>
      </x:c>
      <x:c r="P35" s="62" t="n">
        <x:f>SUM(P4:P34)</x:f>
        <x:v>1160</x:v>
      </x:c>
      <x:c r="Q35" s="62" t="n">
        <x:f>SUM(Q4:Q34)</x:f>
        <x:v>1150</x:v>
      </x:c>
      <x:c r="R35" s="62" t="n">
        <x:f>SUM(R4:R34)</x:f>
        <x:v>1140</x:v>
      </x:c>
      <x:c r="S35" s="62" t="n">
        <x:f>SUM(S4:S34)</x:f>
        <x:v>1135</x:v>
      </x:c>
      <x:c r="T35" s="62" t="n">
        <x:f>SUM(T4:T34)</x:f>
        <x:v>1105</x:v>
      </x:c>
      <x:c r="U35" s="62" t="n">
        <x:f>SUM(U4:U34)</x:f>
        <x:v>1175</x:v>
      </x:c>
      <x:c r="V35" s="62" t="n">
        <x:f>SUM(V4:V34)</x:f>
        <x:v>1185</x:v>
      </x:c>
      <x:c r="W35" s="62" t="n">
        <x:f>SUM(W4:W34)</x:f>
        <x:v>1150</x:v>
      </x:c>
      <x:c r="X35" s="62" t="n">
        <x:f>SUM(X4:X34)</x:f>
        <x:v>1115</x:v>
      </x:c>
      <x:c r="Y35" s="62" t="n">
        <x:f>SUM(Y4:Y34)</x:f>
        <x:v>1150</x:v>
      </x:c>
      <x:c r="Z35" s="62" t="n">
        <x:f>SUM(Z4:Z34)</x:f>
        <x:v>1160</x:v>
      </x:c>
      <x:c r="AA35" s="62" t="n">
        <x:f>SUM(AA4:AA34)</x:f>
        <x:v>1150</x:v>
      </x:c>
      <x:c r="AB35" s="62" t="n">
        <x:f>SUM(AB4:AB34)</x:f>
        <x:v>1210</x:v>
      </x:c>
      <x:c r="AC35" s="62" t="n">
        <x:f>SUM(AC4:AC34)</x:f>
        <x:v>1190</x:v>
      </x:c>
      <x:c r="AD35" s="62" t="n">
        <x:f>SUM(AD4:AD34)</x:f>
        <x:v>1170</x:v>
      </x:c>
      <x:c r="AE35" s="62" t="n">
        <x:f>SUM(AE4:AE34)</x:f>
        <x:v>1150</x:v>
      </x:c>
      <x:c r="AF35" s="62" t="n">
        <x:f>SUM(AF4:AF34)</x:f>
        <x:v>1155</x:v>
      </x:c>
      <x:c r="AG35" s="62" t="n">
        <x:f>SUM(AG4:AG34)</x:f>
        <x:v>1180</x:v>
      </x:c>
      <x:c r="AH35" s="62" t="n">
        <x:f>SUM(AH4:AH34)</x:f>
        <x:v>1215</x:v>
      </x:c>
      <x:c r="AI35" s="62" t="n">
        <x:f>SUM(AI4:AI34)</x:f>
        <x:v>28885</x:v>
      </x:c>
      <x:c r="AJ35" s="62" t="n">
        <x:f>SUM(AJ4:AJ34)</x:f>
        <x:v>946705000</x:v>
      </x:c>
    </x:row>
  </x:sheetData>
  <x:mergeCells>
    <x:mergeCell ref="A1:AJ1"/>
    <x:mergeCell ref="A2:AJ2"/>
  </x:mergeCells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FormatPr defaultRowHeight="15"/>
  <x:cols>
    <x:col min="1" max="1" width="6" hidden="0" customWidth="1"/>
    <x:col min="2" max="2" width="13" hidden="0" customWidth="1"/>
    <x:col min="3" max="3" width="11" hidden="0" customWidth="1"/>
    <x:col min="4" max="4" width="15" hidden="0" customWidth="1"/>
    <x:col min="5" max="5" width="15" hidden="0" customWidth="1"/>
    <x:col min="6" max="6" width="15" hidden="0" customWidth="1"/>
    <x:col min="7" max="7" width="15" hidden="0" customWidth="1"/>
    <x:col min="8" max="8" width="15" hidden="0" customWidth="1"/>
    <x:col min="9" max="9" width="15" hidden="0" customWidth="1"/>
    <x:col min="10" max="10" width="15" hidden="0" customWidth="1"/>
    <x:col min="11" max="11" width="15" hidden="0" customWidth="1"/>
    <x:col min="12" max="12" width="15" hidden="0" customWidth="1"/>
    <x:col min="13" max="13" width="15" hidden="0" customWidth="1"/>
    <x:col min="14" max="14" width="15" hidden="0" customWidth="1"/>
    <x:col min="15" max="15" width="15" hidden="0" customWidth="1"/>
    <x:col min="16" max="16" width="15" hidden="0" customWidth="1"/>
    <x:col min="17" max="17" width="15" hidden="0" customWidth="1"/>
    <x:col min="18" max="18" width="15" hidden="0" customWidth="1"/>
    <x:col min="19" max="19" width="15" hidden="0" customWidth="1"/>
    <x:col min="20" max="20" width="15" hidden="0" customWidth="1"/>
    <x:col min="21" max="21" width="15" hidden="0" customWidth="1"/>
    <x:col min="22" max="22" width="15" hidden="0" customWidth="1"/>
    <x:col min="23" max="23" width="15" hidden="0" customWidth="1"/>
    <x:col min="24" max="24" width="15" hidden="0" customWidth="1"/>
    <x:col min="25" max="25" width="15" hidden="0" customWidth="1"/>
    <x:col min="26" max="26" width="15" hidden="0" customWidth="1"/>
    <x:col min="27" max="27" width="15" hidden="0" customWidth="1"/>
    <x:col min="28" max="28" width="15" hidden="0" customWidth="1"/>
    <x:col min="29" max="29" width="15" hidden="0" customWidth="1"/>
    <x:col min="30" max="30" width="15" hidden="0" customWidth="1"/>
    <x:col min="31" max="31" width="15" hidden="0" customWidth="1"/>
    <x:col min="32" max="32" width="15" hidden="0" customWidth="1"/>
    <x:col min="33" max="33" width="15" hidden="0" customWidth="1"/>
    <x:col min="34" max="34" width="15" hidden="0" customWidth="1"/>
    <x:col min="35" max="35" width="13" hidden="0" customWidth="1"/>
    <x:col min="36" max="36" width="20" hidden="0" customWidth="1"/>
  </x:cols>
  <x:sheetData>
    <x:row r="1" ht="28" customHeight="1">
      <x:c r="A1" s="102" t="str">
        <x:v>DELLA FROZEN MART – DATA PENJUALAN HARIAN 31 PRODUK | FEBRUARI 2026</x:v>
      </x:c>
      <x:c r="B1" s="102"/>
      <x:c r="C1" s="102"/>
      <x:c r="D1" s="102"/>
      <x:c r="E1" s="102"/>
      <x:c r="F1" s="102"/>
      <x:c r="G1" s="102"/>
      <x:c r="H1" s="102"/>
      <x:c r="I1" s="102"/>
      <x:c r="J1" s="102"/>
      <x:c r="K1" s="102"/>
      <x:c r="L1" s="102"/>
      <x:c r="M1" s="102"/>
      <x:c r="N1" s="102"/>
      <x:c r="O1" s="102"/>
      <x:c r="P1" s="102"/>
      <x:c r="Q1" s="102"/>
      <x:c r="R1" s="102"/>
      <x:c r="S1" s="102"/>
      <x:c r="T1" s="102"/>
      <x:c r="U1" s="102"/>
      <x:c r="V1" s="102"/>
      <x:c r="W1" s="102"/>
      <x:c r="X1" s="102"/>
      <x:c r="Y1" s="102"/>
      <x:c r="Z1" s="102"/>
      <x:c r="AA1" s="102"/>
      <x:c r="AB1" s="102"/>
      <x:c r="AC1" s="102"/>
      <x:c r="AD1" s="102"/>
      <x:c r="AE1" s="102"/>
      <x:c r="AF1" s="102"/>
      <x:c r="AG1" s="102"/>
      <x:c r="AH1" s="102"/>
      <x:c r="AI1" s="102"/>
      <x:c r="AJ1" s="102"/>
    </x:row>
    <x:row r="2" ht="22" customHeight="1">
      <x:c r="A2" s="145" t="str">
        <x:v>Gabungan 10 produk data dasar dan 21 produk simulasi tambahan. Lihat sheet 'Metodologi &amp; Disclaimer'.</x:v>
      </x:c>
      <x:c r="B2" s="145"/>
      <x:c r="C2" s="145"/>
      <x:c r="D2" s="145"/>
      <x:c r="E2" s="145"/>
      <x:c r="F2" s="145"/>
      <x:c r="G2" s="145"/>
      <x:c r="H2" s="145"/>
      <x:c r="I2" s="145"/>
      <x:c r="J2" s="145"/>
      <x:c r="K2" s="145"/>
      <x:c r="L2" s="145"/>
      <x:c r="M2" s="145"/>
      <x:c r="N2" s="145"/>
      <x:c r="O2" s="145"/>
      <x:c r="P2" s="145"/>
      <x:c r="Q2" s="145"/>
      <x:c r="R2" s="145"/>
      <x:c r="S2" s="145"/>
      <x:c r="T2" s="145"/>
      <x:c r="U2" s="145"/>
      <x:c r="V2" s="145"/>
      <x:c r="W2" s="145"/>
      <x:c r="X2" s="145"/>
      <x:c r="Y2" s="145"/>
      <x:c r="Z2" s="145"/>
      <x:c r="AA2" s="145"/>
      <x:c r="AB2" s="145"/>
      <x:c r="AC2" s="145"/>
      <x:c r="AD2" s="145"/>
      <x:c r="AE2" s="145"/>
      <x:c r="AF2" s="145"/>
      <x:c r="AG2" s="145"/>
      <x:c r="AH2" s="145"/>
      <x:c r="AI2" s="145"/>
      <x:c r="AJ2" s="145"/>
    </x:row>
    <x:row r="3" ht="58" customHeight="1">
      <x:c r="A3" s="53" t="str">
        <x:v>No</x:v>
      </x:c>
      <x:c r="B3" s="53" t="str">
        <x:v>Tanggal</x:v>
      </x:c>
      <x:c r="C3" s="53" t="str">
        <x:v>Hari</x:v>
      </x:c>
      <x:c r="D3" s="156" t="str">
        <x:v>Okey Sosis 500GR</x:v>
      </x:c>
      <x:c r="E3" s="156" t="str">
        <x:v>Fiesta Chicken Nugget 450GR</x:v>
      </x:c>
      <x:c r="F3" s="156" t="str">
        <x:v>Jamur Enoki</x:v>
      </x:c>
      <x:c r="G3" s="156" t="str">
        <x:v>Meru Lapis Bogor</x:v>
      </x:c>
      <x:c r="H3" s="156" t="str">
        <x:v>Okey Nugget Stik 500GR</x:v>
      </x:c>
      <x:c r="I3" s="156" t="str">
        <x:v>Cireng Rujak</x:v>
      </x:c>
      <x:c r="J3" s="156" t="str">
        <x:v>Salam Nugget 500GR</x:v>
      </x:c>
      <x:c r="K3" s="156" t="str">
        <x:v>Warisan Isi 50</x:v>
      </x:c>
      <x:c r="L3" s="156" t="str">
        <x:v>Belfood Sosis Isi 30</x:v>
      </x:c>
      <x:c r="M3" s="156" t="str">
        <x:v>Richeese Nugget</x:v>
      </x:c>
      <x:c r="N3" s="166" t="str">
        <x:v>Nugget Ayam Original 500g</x:v>
      </x:c>
      <x:c r="O3" s="166" t="str">
        <x:v>Nugget Ayam Crispy 400g</x:v>
      </x:c>
      <x:c r="P3" s="166" t="str">
        <x:v>Champ Nugget Kombinasi 450GR</x:v>
      </x:c>
      <x:c r="Q3" s="166" t="str">
        <x:v>Chicken Nugget Stick 250g</x:v>
      </x:c>
      <x:c r="R3" s="166" t="str">
        <x:v>Chicken Nugget Stick 500g</x:v>
      </x:c>
      <x:c r="S3" s="166" t="str">
        <x:v>Bakso Soni</x:v>
      </x:c>
      <x:c r="T3" s="166" t="str">
        <x:v>Spicy Chicken Wings 500g</x:v>
      </x:c>
      <x:c r="U3" s="166" t="str">
        <x:v>Sosis Ayam Besar 360g</x:v>
      </x:c>
      <x:c r="V3" s="166" t="str">
        <x:v>Sosis Sapi Jumbo 500g</x:v>
      </x:c>
      <x:c r="W3" s="166" t="str">
        <x:v>Sosis Kanzler Beef 500g</x:v>
      </x:c>
      <x:c r="X3" s="166" t="str">
        <x:v>Sosis Kanzler Cheese 300g</x:v>
      </x:c>
      <x:c r="Y3" s="166" t="str">
        <x:v>Sosis Kanzler Cheese 500g</x:v>
      </x:c>
      <x:c r="Z3" s="166" t="str">
        <x:v>Bakso Sapi Jumbo 500g</x:v>
      </x:c>
      <x:c r="AA3" s="166" t="str">
        <x:v>Warisan Isi 25</x:v>
      </x:c>
      <x:c r="AB3" s="166" t="str">
        <x:v>Onion Ring Frozen 250g</x:v>
      </x:c>
      <x:c r="AC3" s="166" t="str">
        <x:v>Onion Ring Frozen 500g</x:v>
      </x:c>
      <x:c r="AD3" s="166" t="str">
        <x:v>Champ Sosis Sapi 375 gr</x:v>
      </x:c>
      <x:c r="AE3" s="166" t="str">
        <x:v>Sallam Nugget 250 gr</x:v>
      </x:c>
      <x:c r="AF3" s="166" t="str">
        <x:v>Sallam Bakso Sapi 500 gr</x:v>
      </x:c>
      <x:c r="AG3" s="166" t="str">
        <x:v>Fiesta Kentang 500 gr</x:v>
      </x:c>
      <x:c r="AH3" s="166" t="str">
        <x:v>Belfood Chicken Nugget 500gr</x:v>
      </x:c>
      <x:c r="AI3" s="28" t="str">
        <x:v>Total Qty</x:v>
      </x:c>
      <x:c r="AJ3" s="28" t="str">
        <x:v>Total Penjualan (Rp)</x:v>
      </x:c>
    </x:row>
    <x:row r="4" ht="18" customHeight="1">
      <x:c r="A4" s="178" t="n">
        <x:v>1</x:v>
      </x:c>
      <x:c r="B4" s="179" t="n">
        <x:v>46054</x:v>
      </x:c>
      <x:c r="C4" s="178" t="str">
        <x:v>Minggu</x:v>
      </x:c>
      <x:c r="D4" s="184" t="n">
        <x:v>40</x:v>
      </x:c>
      <x:c r="E4" s="184" t="n">
        <x:v>0</x:v>
      </x:c>
      <x:c r="F4" s="184" t="n">
        <x:v>0</x:v>
      </x:c>
      <x:c r="G4" s="184" t="n">
        <x:v>0</x:v>
      </x:c>
      <x:c r="H4" s="184" t="n">
        <x:v>0</x:v>
      </x:c>
      <x:c r="I4" s="184" t="n">
        <x:v>0</x:v>
      </x:c>
      <x:c r="J4" s="184" t="n">
        <x:v>40</x:v>
      </x:c>
      <x:c r="K4" s="184" t="n">
        <x:v>0</x:v>
      </x:c>
      <x:c r="L4" s="184" t="n">
        <x:v>0</x:v>
      </x:c>
      <x:c r="M4" s="184" t="n">
        <x:v>0</x:v>
      </x:c>
      <x:c r="N4" s="186" t="n">
        <x:v>50</x:v>
      </x:c>
      <x:c r="O4" s="186" t="n">
        <x:v>45</x:v>
      </x:c>
      <x:c r="P4" s="186" t="n">
        <x:v>50</x:v>
      </x:c>
      <x:c r="Q4" s="186" t="n">
        <x:v>40</x:v>
      </x:c>
      <x:c r="R4" s="186" t="n">
        <x:v>40</x:v>
      </x:c>
      <x:c r="S4" s="186" t="n">
        <x:v>35</x:v>
      </x:c>
      <x:c r="T4" s="186" t="n">
        <x:v>40</x:v>
      </x:c>
      <x:c r="U4" s="186" t="n">
        <x:v>40</x:v>
      </x:c>
      <x:c r="V4" s="186" t="n">
        <x:v>40</x:v>
      </x:c>
      <x:c r="W4" s="186" t="n">
        <x:v>40</x:v>
      </x:c>
      <x:c r="X4" s="186" t="n">
        <x:v>45</x:v>
      </x:c>
      <x:c r="Y4" s="186" t="n">
        <x:v>40</x:v>
      </x:c>
      <x:c r="Z4" s="186" t="n">
        <x:v>45</x:v>
      </x:c>
      <x:c r="AA4" s="186" t="n">
        <x:v>35</x:v>
      </x:c>
      <x:c r="AB4" s="186" t="n">
        <x:v>40</x:v>
      </x:c>
      <x:c r="AC4" s="186" t="n">
        <x:v>45</x:v>
      </x:c>
      <x:c r="AD4" s="186" t="n">
        <x:v>45</x:v>
      </x:c>
      <x:c r="AE4" s="186" t="n">
        <x:v>45</x:v>
      </x:c>
      <x:c r="AF4" s="186" t="n">
        <x:v>40</x:v>
      </x:c>
      <x:c r="AG4" s="186" t="n">
        <x:v>35</x:v>
      </x:c>
      <x:c r="AH4" s="186" t="n">
        <x:v>40</x:v>
      </x:c>
      <x:c r="AI4" s="188" t="n">
        <x:f>SUM(D4:AH4)</x:f>
        <x:v>955</x:v>
      </x:c>
      <x:c r="AJ4" s="196" t="n">
        <x:f>D4*'Daftar Produk &amp; Harga'!$C$4+E4*'Daftar Produk &amp; Harga'!$C$5+F4*'Daftar Produk &amp; Harga'!$C$6+G4*'Daftar Produk &amp; Harga'!$C$7+H4*'Daftar Produk &amp; Harga'!$C$8+I4*'Daftar Produk &amp; Harga'!$C$9+J4*'Daftar Produk &amp; Harga'!$C$10+K4*'Daftar Produk &amp; Harga'!$C$11+L4*'Daftar Produk &amp; Harga'!$C$12+M4*'Daftar Produk &amp; Harga'!$C$13+N4*'Daftar Produk &amp; Harga'!$C$14+O4*'Daftar Produk &amp; Harga'!$C$15+P4*'Daftar Produk &amp; Harga'!$C$16+Q4*'Daftar Produk &amp; Harga'!$C$17+R4*'Daftar Produk &amp; Harga'!$C$18+S4*'Daftar Produk &amp; Harga'!$C$19+T4*'Daftar Produk &amp; Harga'!$C$20+U4*'Daftar Produk &amp; Harga'!$C$21+V4*'Daftar Produk &amp; Harga'!$C$22+W4*'Daftar Produk &amp; Harga'!$C$23+X4*'Daftar Produk &amp; Harga'!$C$24+Y4*'Daftar Produk &amp; Harga'!$C$25+Z4*'Daftar Produk &amp; Harga'!$C$26+AA4*'Daftar Produk &amp; Harga'!$C$27+AB4*'Daftar Produk &amp; Harga'!$C$28+AC4*'Daftar Produk &amp; Harga'!$C$29+AD4*'Daftar Produk &amp; Harga'!$C$30+AE4*'Daftar Produk &amp; Harga'!$C$31+AF4*'Daftar Produk &amp; Harga'!$C$32+AG4*'Daftar Produk &amp; Harga'!$C$33+AH4*'Daftar Produk &amp; Harga'!$C$34</x:f>
        <x:v>30805000</x:v>
      </x:c>
    </x:row>
    <x:row r="5" ht="18" customHeight="1">
      <x:c r="A5" s="178" t="n">
        <x:v>2</x:v>
      </x:c>
      <x:c r="B5" s="179" t="n">
        <x:v>46055</x:v>
      </x:c>
      <x:c r="C5" s="178" t="str">
        <x:v>Senin</x:v>
      </x:c>
      <x:c r="D5" s="184" t="n">
        <x:v>40</x:v>
      </x:c>
      <x:c r="E5" s="184" t="n">
        <x:v>0</x:v>
      </x:c>
      <x:c r="F5" s="184" t="n">
        <x:v>40</x:v>
      </x:c>
      <x:c r="G5" s="184" t="n">
        <x:v>0</x:v>
      </x:c>
      <x:c r="H5" s="184" t="n">
        <x:v>0</x:v>
      </x:c>
      <x:c r="I5" s="184" t="n">
        <x:v>0</x:v>
      </x:c>
      <x:c r="J5" s="184" t="n">
        <x:v>40</x:v>
      </x:c>
      <x:c r="K5" s="184" t="n">
        <x:v>0</x:v>
      </x:c>
      <x:c r="L5" s="184" t="n">
        <x:v>0</x:v>
      </x:c>
      <x:c r="M5" s="184" t="n">
        <x:v>0</x:v>
      </x:c>
      <x:c r="N5" s="186" t="n">
        <x:v>40</x:v>
      </x:c>
      <x:c r="O5" s="186" t="n">
        <x:v>35</x:v>
      </x:c>
      <x:c r="P5" s="186" t="n">
        <x:v>30</x:v>
      </x:c>
      <x:c r="Q5" s="186" t="n">
        <x:v>35</x:v>
      </x:c>
      <x:c r="R5" s="186" t="n">
        <x:v>40</x:v>
      </x:c>
      <x:c r="S5" s="186" t="n">
        <x:v>40</x:v>
      </x:c>
      <x:c r="T5" s="186" t="n">
        <x:v>35</x:v>
      </x:c>
      <x:c r="U5" s="186" t="n">
        <x:v>30</x:v>
      </x:c>
      <x:c r="V5" s="186" t="n">
        <x:v>35</x:v>
      </x:c>
      <x:c r="W5" s="186" t="n">
        <x:v>30</x:v>
      </x:c>
      <x:c r="X5" s="186" t="n">
        <x:v>30</x:v>
      </x:c>
      <x:c r="Y5" s="186" t="n">
        <x:v>30</x:v>
      </x:c>
      <x:c r="Z5" s="186" t="n">
        <x:v>35</x:v>
      </x:c>
      <x:c r="AA5" s="186" t="n">
        <x:v>35</x:v>
      </x:c>
      <x:c r="AB5" s="186" t="n">
        <x:v>35</x:v>
      </x:c>
      <x:c r="AC5" s="186" t="n">
        <x:v>30</x:v>
      </x:c>
      <x:c r="AD5" s="186" t="n">
        <x:v>35</x:v>
      </x:c>
      <x:c r="AE5" s="186" t="n">
        <x:v>30</x:v>
      </x:c>
      <x:c r="AF5" s="186" t="n">
        <x:v>40</x:v>
      </x:c>
      <x:c r="AG5" s="186" t="n">
        <x:v>30</x:v>
      </x:c>
      <x:c r="AH5" s="186" t="n">
        <x:v>40</x:v>
      </x:c>
      <x:c r="AI5" s="188" t="n">
        <x:f>SUM(D5:AH5)</x:f>
        <x:v>840</x:v>
      </x:c>
      <x:c r="AJ5" s="196" t="n">
        <x:f>D5*'Daftar Produk &amp; Harga'!$C$4+E5*'Daftar Produk &amp; Harga'!$C$5+F5*'Daftar Produk &amp; Harga'!$C$6+G5*'Daftar Produk &amp; Harga'!$C$7+H5*'Daftar Produk &amp; Harga'!$C$8+I5*'Daftar Produk &amp; Harga'!$C$9+J5*'Daftar Produk &amp; Harga'!$C$10+K5*'Daftar Produk &amp; Harga'!$C$11+L5*'Daftar Produk &amp; Harga'!$C$12+M5*'Daftar Produk &amp; Harga'!$C$13+N5*'Daftar Produk &amp; Harga'!$C$14+O5*'Daftar Produk &amp; Harga'!$C$15+P5*'Daftar Produk &amp; Harga'!$C$16+Q5*'Daftar Produk &amp; Harga'!$C$17+R5*'Daftar Produk &amp; Harga'!$C$18+S5*'Daftar Produk &amp; Harga'!$C$19+T5*'Daftar Produk &amp; Harga'!$C$20+U5*'Daftar Produk &amp; Harga'!$C$21+V5*'Daftar Produk &amp; Harga'!$C$22+W5*'Daftar Produk &amp; Harga'!$C$23+X5*'Daftar Produk &amp; Harga'!$C$24+Y5*'Daftar Produk &amp; Harga'!$C$25+Z5*'Daftar Produk &amp; Harga'!$C$26+AA5*'Daftar Produk &amp; Harga'!$C$27+AB5*'Daftar Produk &amp; Harga'!$C$28+AC5*'Daftar Produk &amp; Harga'!$C$29+AD5*'Daftar Produk &amp; Harga'!$C$30+AE5*'Daftar Produk &amp; Harga'!$C$31+AF5*'Daftar Produk &amp; Harga'!$C$32+AG5*'Daftar Produk &amp; Harga'!$C$33+AH5*'Daftar Produk &amp; Harga'!$C$34</x:f>
        <x:v>26105000</x:v>
      </x:c>
    </x:row>
    <x:row r="6" ht="18" customHeight="1">
      <x:c r="A6" s="178" t="n">
        <x:v>3</x:v>
      </x:c>
      <x:c r="B6" s="179" t="n">
        <x:v>46056</x:v>
      </x:c>
      <x:c r="C6" s="178" t="str">
        <x:v>Selasa</x:v>
      </x:c>
      <x:c r="D6" s="184" t="n">
        <x:v>40</x:v>
      </x:c>
      <x:c r="E6" s="184" t="n">
        <x:v>0</x:v>
      </x:c>
      <x:c r="F6" s="184" t="n">
        <x:v>50</x:v>
      </x:c>
      <x:c r="G6" s="184" t="n">
        <x:v>0</x:v>
      </x:c>
      <x:c r="H6" s="184" t="n">
        <x:v>50</x:v>
      </x:c>
      <x:c r="I6" s="184" t="n">
        <x:v>0</x:v>
      </x:c>
      <x:c r="J6" s="184" t="n">
        <x:v>50</x:v>
      </x:c>
      <x:c r="K6" s="184" t="n">
        <x:v>0</x:v>
      </x:c>
      <x:c r="L6" s="184" t="n">
        <x:v>0</x:v>
      </x:c>
      <x:c r="M6" s="184" t="n">
        <x:v>0</x:v>
      </x:c>
      <x:c r="N6" s="186" t="n">
        <x:v>30</x:v>
      </x:c>
      <x:c r="O6" s="186" t="n">
        <x:v>40</x:v>
      </x:c>
      <x:c r="P6" s="186" t="n">
        <x:v>40</x:v>
      </x:c>
      <x:c r="Q6" s="186" t="n">
        <x:v>35</x:v>
      </x:c>
      <x:c r="R6" s="186" t="n">
        <x:v>30</x:v>
      </x:c>
      <x:c r="S6" s="186" t="n">
        <x:v>40</x:v>
      </x:c>
      <x:c r="T6" s="186" t="n">
        <x:v>40</x:v>
      </x:c>
      <x:c r="U6" s="186" t="n">
        <x:v>40</x:v>
      </x:c>
      <x:c r="V6" s="186" t="n">
        <x:v>30</x:v>
      </x:c>
      <x:c r="W6" s="186" t="n">
        <x:v>30</x:v>
      </x:c>
      <x:c r="X6" s="186" t="n">
        <x:v>40</x:v>
      </x:c>
      <x:c r="Y6" s="186" t="n">
        <x:v>30</x:v>
      </x:c>
      <x:c r="Z6" s="186" t="n">
        <x:v>30</x:v>
      </x:c>
      <x:c r="AA6" s="186" t="n">
        <x:v>30</x:v>
      </x:c>
      <x:c r="AB6" s="186" t="n">
        <x:v>35</x:v>
      </x:c>
      <x:c r="AC6" s="186" t="n">
        <x:v>30</x:v>
      </x:c>
      <x:c r="AD6" s="186" t="n">
        <x:v>40</x:v>
      </x:c>
      <x:c r="AE6" s="186" t="n">
        <x:v>35</x:v>
      </x:c>
      <x:c r="AF6" s="186" t="n">
        <x:v>40</x:v>
      </x:c>
      <x:c r="AG6" s="186" t="n">
        <x:v>30</x:v>
      </x:c>
      <x:c r="AH6" s="186" t="n">
        <x:v>40</x:v>
      </x:c>
      <x:c r="AI6" s="188" t="n">
        <x:f>SUM(D6:AH6)</x:f>
        <x:v>925</x:v>
      </x:c>
      <x:c r="AJ6" s="196" t="n">
        <x:f>D6*'Daftar Produk &amp; Harga'!$C$4+E6*'Daftar Produk &amp; Harga'!$C$5+F6*'Daftar Produk &amp; Harga'!$C$6+G6*'Daftar Produk &amp; Harga'!$C$7+H6*'Daftar Produk &amp; Harga'!$C$8+I6*'Daftar Produk &amp; Harga'!$C$9+J6*'Daftar Produk &amp; Harga'!$C$10+K6*'Daftar Produk &amp; Harga'!$C$11+L6*'Daftar Produk &amp; Harga'!$C$12+M6*'Daftar Produk &amp; Harga'!$C$13+N6*'Daftar Produk &amp; Harga'!$C$14+O6*'Daftar Produk &amp; Harga'!$C$15+P6*'Daftar Produk &amp; Harga'!$C$16+Q6*'Daftar Produk &amp; Harga'!$C$17+R6*'Daftar Produk &amp; Harga'!$C$18+S6*'Daftar Produk &amp; Harga'!$C$19+T6*'Daftar Produk &amp; Harga'!$C$20+U6*'Daftar Produk &amp; Harga'!$C$21+V6*'Daftar Produk &amp; Harga'!$C$22+W6*'Daftar Produk &amp; Harga'!$C$23+X6*'Daftar Produk &amp; Harga'!$C$24+Y6*'Daftar Produk &amp; Harga'!$C$25+Z6*'Daftar Produk &amp; Harga'!$C$26+AA6*'Daftar Produk &amp; Harga'!$C$27+AB6*'Daftar Produk &amp; Harga'!$C$28+AC6*'Daftar Produk &amp; Harga'!$C$29+AD6*'Daftar Produk &amp; Harga'!$C$30+AE6*'Daftar Produk &amp; Harga'!$C$31+AF6*'Daftar Produk &amp; Harga'!$C$32+AG6*'Daftar Produk &amp; Harga'!$C$33+AH6*'Daftar Produk &amp; Harga'!$C$34</x:f>
        <x:v>28790000</x:v>
      </x:c>
    </x:row>
    <x:row r="7" ht="18" customHeight="1">
      <x:c r="A7" s="178" t="n">
        <x:v>4</x:v>
      </x:c>
      <x:c r="B7" s="179" t="n">
        <x:v>46057</x:v>
      </x:c>
      <x:c r="C7" s="178" t="str">
        <x:v>Rabu</x:v>
      </x:c>
      <x:c r="D7" s="184" t="n">
        <x:v>0</x:v>
      </x:c>
      <x:c r="E7" s="184" t="n">
        <x:v>50</x:v>
      </x:c>
      <x:c r="F7" s="184" t="n">
        <x:v>0</x:v>
      </x:c>
      <x:c r="G7" s="184" t="n">
        <x:v>0</x:v>
      </x:c>
      <x:c r="H7" s="184" t="n">
        <x:v>60</x:v>
      </x:c>
      <x:c r="I7" s="184" t="n">
        <x:v>0</x:v>
      </x:c>
      <x:c r="J7" s="184" t="n">
        <x:v>0</x:v>
      </x:c>
      <x:c r="K7" s="184" t="n">
        <x:v>0</x:v>
      </x:c>
      <x:c r="L7" s="184" t="n">
        <x:v>0</x:v>
      </x:c>
      <x:c r="M7" s="184" t="n">
        <x:v>0</x:v>
      </x:c>
      <x:c r="N7" s="186" t="n">
        <x:v>35</x:v>
      </x:c>
      <x:c r="O7" s="186" t="n">
        <x:v>40</x:v>
      </x:c>
      <x:c r="P7" s="186" t="n">
        <x:v>40</x:v>
      </x:c>
      <x:c r="Q7" s="186" t="n">
        <x:v>35</x:v>
      </x:c>
      <x:c r="R7" s="186" t="n">
        <x:v>30</x:v>
      </x:c>
      <x:c r="S7" s="186" t="n">
        <x:v>35</x:v>
      </x:c>
      <x:c r="T7" s="186" t="n">
        <x:v>35</x:v>
      </x:c>
      <x:c r="U7" s="186" t="n">
        <x:v>30</x:v>
      </x:c>
      <x:c r="V7" s="186" t="n">
        <x:v>40</x:v>
      </x:c>
      <x:c r="W7" s="186" t="n">
        <x:v>40</x:v>
      </x:c>
      <x:c r="X7" s="186" t="n">
        <x:v>30</x:v>
      </x:c>
      <x:c r="Y7" s="186" t="n">
        <x:v>35</x:v>
      </x:c>
      <x:c r="Z7" s="186" t="n">
        <x:v>40</x:v>
      </x:c>
      <x:c r="AA7" s="186" t="n">
        <x:v>35</x:v>
      </x:c>
      <x:c r="AB7" s="186" t="n">
        <x:v>40</x:v>
      </x:c>
      <x:c r="AC7" s="186" t="n">
        <x:v>35</x:v>
      </x:c>
      <x:c r="AD7" s="186" t="n">
        <x:v>30</x:v>
      </x:c>
      <x:c r="AE7" s="186" t="n">
        <x:v>40</x:v>
      </x:c>
      <x:c r="AF7" s="186" t="n">
        <x:v>35</x:v>
      </x:c>
      <x:c r="AG7" s="186" t="n">
        <x:v>35</x:v>
      </x:c>
      <x:c r="AH7" s="186" t="n">
        <x:v>35</x:v>
      </x:c>
      <x:c r="AI7" s="188" t="n">
        <x:f>SUM(D7:AH7)</x:f>
        <x:v>860</x:v>
      </x:c>
      <x:c r="AJ7" s="196" t="n">
        <x:f>D7*'Daftar Produk &amp; Harga'!$C$4+E7*'Daftar Produk &amp; Harga'!$C$5+F7*'Daftar Produk &amp; Harga'!$C$6+G7*'Daftar Produk &amp; Harga'!$C$7+H7*'Daftar Produk &amp; Harga'!$C$8+I7*'Daftar Produk &amp; Harga'!$C$9+J7*'Daftar Produk &amp; Harga'!$C$10+K7*'Daftar Produk &amp; Harga'!$C$11+L7*'Daftar Produk &amp; Harga'!$C$12+M7*'Daftar Produk &amp; Harga'!$C$13+N7*'Daftar Produk &amp; Harga'!$C$14+O7*'Daftar Produk &amp; Harga'!$C$15+P7*'Daftar Produk &amp; Harga'!$C$16+Q7*'Daftar Produk &amp; Harga'!$C$17+R7*'Daftar Produk &amp; Harga'!$C$18+S7*'Daftar Produk &amp; Harga'!$C$19+T7*'Daftar Produk &amp; Harga'!$C$20+U7*'Daftar Produk &amp; Harga'!$C$21+V7*'Daftar Produk &amp; Harga'!$C$22+W7*'Daftar Produk &amp; Harga'!$C$23+X7*'Daftar Produk &amp; Harga'!$C$24+Y7*'Daftar Produk &amp; Harga'!$C$25+Z7*'Daftar Produk &amp; Harga'!$C$26+AA7*'Daftar Produk &amp; Harga'!$C$27+AB7*'Daftar Produk &amp; Harga'!$C$28+AC7*'Daftar Produk &amp; Harga'!$C$29+AD7*'Daftar Produk &amp; Harga'!$C$30+AE7*'Daftar Produk &amp; Harga'!$C$31+AF7*'Daftar Produk &amp; Harga'!$C$32+AG7*'Daftar Produk &amp; Harga'!$C$33+AH7*'Daftar Produk &amp; Harga'!$C$34</x:f>
        <x:v>28315000</x:v>
      </x:c>
    </x:row>
    <x:row r="8" ht="18" customHeight="1">
      <x:c r="A8" s="178" t="n">
        <x:v>5</x:v>
      </x:c>
      <x:c r="B8" s="179" t="n">
        <x:v>46058</x:v>
      </x:c>
      <x:c r="C8" s="178" t="str">
        <x:v>Kamis</x:v>
      </x:c>
      <x:c r="D8" s="184" t="n">
        <x:v>0</x:v>
      </x:c>
      <x:c r="E8" s="184" t="n">
        <x:v>50</x:v>
      </x:c>
      <x:c r="F8" s="184" t="n">
        <x:v>0</x:v>
      </x:c>
      <x:c r="G8" s="184" t="n">
        <x:v>30</x:v>
      </x:c>
      <x:c r="H8" s="184" t="n">
        <x:v>0</x:v>
      </x:c>
      <x:c r="I8" s="184" t="n">
        <x:v>0</x:v>
      </x:c>
      <x:c r="J8" s="184" t="n">
        <x:v>0</x:v>
      </x:c>
      <x:c r="K8" s="184" t="n">
        <x:v>0</x:v>
      </x:c>
      <x:c r="L8" s="184" t="n">
        <x:v>0</x:v>
      </x:c>
      <x:c r="M8" s="184" t="n">
        <x:v>0</x:v>
      </x:c>
      <x:c r="N8" s="186" t="n">
        <x:v>30</x:v>
      </x:c>
      <x:c r="O8" s="186" t="n">
        <x:v>30</x:v>
      </x:c>
      <x:c r="P8" s="186" t="n">
        <x:v>40</x:v>
      </x:c>
      <x:c r="Q8" s="186" t="n">
        <x:v>40</x:v>
      </x:c>
      <x:c r="R8" s="186" t="n">
        <x:v>40</x:v>
      </x:c>
      <x:c r="S8" s="186" t="n">
        <x:v>35</x:v>
      </x:c>
      <x:c r="T8" s="186" t="n">
        <x:v>30</x:v>
      </x:c>
      <x:c r="U8" s="186" t="n">
        <x:v>40</x:v>
      </x:c>
      <x:c r="V8" s="186" t="n">
        <x:v>35</x:v>
      </x:c>
      <x:c r="W8" s="186" t="n">
        <x:v>35</x:v>
      </x:c>
      <x:c r="X8" s="186" t="n">
        <x:v>30</x:v>
      </x:c>
      <x:c r="Y8" s="186" t="n">
        <x:v>35</x:v>
      </x:c>
      <x:c r="Z8" s="186" t="n">
        <x:v>40</x:v>
      </x:c>
      <x:c r="AA8" s="186" t="n">
        <x:v>40</x:v>
      </x:c>
      <x:c r="AB8" s="186" t="n">
        <x:v>30</x:v>
      </x:c>
      <x:c r="AC8" s="186" t="n">
        <x:v>40</x:v>
      </x:c>
      <x:c r="AD8" s="186" t="n">
        <x:v>40</x:v>
      </x:c>
      <x:c r="AE8" s="186" t="n">
        <x:v>30</x:v>
      </x:c>
      <x:c r="AF8" s="186" t="n">
        <x:v>40</x:v>
      </x:c>
      <x:c r="AG8" s="186" t="n">
        <x:v>35</x:v>
      </x:c>
      <x:c r="AH8" s="186" t="n">
        <x:v>35</x:v>
      </x:c>
      <x:c r="AI8" s="188" t="n">
        <x:f>SUM(D8:AH8)</x:f>
        <x:v>830</x:v>
      </x:c>
      <x:c r="AJ8" s="196" t="n">
        <x:f>D8*'Daftar Produk &amp; Harga'!$C$4+E8*'Daftar Produk &amp; Harga'!$C$5+F8*'Daftar Produk &amp; Harga'!$C$6+G8*'Daftar Produk &amp; Harga'!$C$7+H8*'Daftar Produk &amp; Harga'!$C$8+I8*'Daftar Produk &amp; Harga'!$C$9+J8*'Daftar Produk &amp; Harga'!$C$10+K8*'Daftar Produk &amp; Harga'!$C$11+L8*'Daftar Produk &amp; Harga'!$C$12+M8*'Daftar Produk &amp; Harga'!$C$13+N8*'Daftar Produk &amp; Harga'!$C$14+O8*'Daftar Produk &amp; Harga'!$C$15+P8*'Daftar Produk &amp; Harga'!$C$16+Q8*'Daftar Produk &amp; Harga'!$C$17+R8*'Daftar Produk &amp; Harga'!$C$18+S8*'Daftar Produk &amp; Harga'!$C$19+T8*'Daftar Produk &amp; Harga'!$C$20+U8*'Daftar Produk &amp; Harga'!$C$21+V8*'Daftar Produk &amp; Harga'!$C$22+W8*'Daftar Produk &amp; Harga'!$C$23+X8*'Daftar Produk &amp; Harga'!$C$24+Y8*'Daftar Produk &amp; Harga'!$C$25+Z8*'Daftar Produk &amp; Harga'!$C$26+AA8*'Daftar Produk &amp; Harga'!$C$27+AB8*'Daftar Produk &amp; Harga'!$C$28+AC8*'Daftar Produk &amp; Harga'!$C$29+AD8*'Daftar Produk &amp; Harga'!$C$30+AE8*'Daftar Produk &amp; Harga'!$C$31+AF8*'Daftar Produk &amp; Harga'!$C$32+AG8*'Daftar Produk &amp; Harga'!$C$33+AH8*'Daftar Produk &amp; Harga'!$C$34</x:f>
        <x:v>27550000</x:v>
      </x:c>
    </x:row>
    <x:row r="9" ht="18" customHeight="1">
      <x:c r="A9" s="178" t="n">
        <x:v>6</x:v>
      </x:c>
      <x:c r="B9" s="179" t="n">
        <x:v>46059</x:v>
      </x:c>
      <x:c r="C9" s="178" t="str">
        <x:v>Jumat</x:v>
      </x:c>
      <x:c r="D9" s="184" t="n">
        <x:v>0</x:v>
      </x:c>
      <x:c r="E9" s="184" t="n">
        <x:v>50</x:v>
      </x:c>
      <x:c r="F9" s="184" t="n">
        <x:v>0</x:v>
      </x:c>
      <x:c r="G9" s="184" t="n">
        <x:v>40</x:v>
      </x:c>
      <x:c r="H9" s="184" t="n">
        <x:v>0</x:v>
      </x:c>
      <x:c r="I9" s="184" t="n">
        <x:v>40</x:v>
      </x:c>
      <x:c r="J9" s="184" t="n">
        <x:v>0</x:v>
      </x:c>
      <x:c r="K9" s="184" t="n">
        <x:v>0</x:v>
      </x:c>
      <x:c r="L9" s="184" t="n">
        <x:v>0</x:v>
      </x:c>
      <x:c r="M9" s="184" t="n">
        <x:v>0</x:v>
      </x:c>
      <x:c r="N9" s="186" t="n">
        <x:v>40</x:v>
      </x:c>
      <x:c r="O9" s="186" t="n">
        <x:v>35</x:v>
      </x:c>
      <x:c r="P9" s="186" t="n">
        <x:v>30</x:v>
      </x:c>
      <x:c r="Q9" s="186" t="n">
        <x:v>30</x:v>
      </x:c>
      <x:c r="R9" s="186" t="n">
        <x:v>40</x:v>
      </x:c>
      <x:c r="S9" s="186" t="n">
        <x:v>30</x:v>
      </x:c>
      <x:c r="T9" s="186" t="n">
        <x:v>40</x:v>
      </x:c>
      <x:c r="U9" s="186" t="n">
        <x:v>30</x:v>
      </x:c>
      <x:c r="V9" s="186" t="n">
        <x:v>35</x:v>
      </x:c>
      <x:c r="W9" s="186" t="n">
        <x:v>40</x:v>
      </x:c>
      <x:c r="X9" s="186" t="n">
        <x:v>40</x:v>
      </x:c>
      <x:c r="Y9" s="186" t="n">
        <x:v>30</x:v>
      </x:c>
      <x:c r="Z9" s="186" t="n">
        <x:v>35</x:v>
      </x:c>
      <x:c r="AA9" s="186" t="n">
        <x:v>35</x:v>
      </x:c>
      <x:c r="AB9" s="186" t="n">
        <x:v>35</x:v>
      </x:c>
      <x:c r="AC9" s="186" t="n">
        <x:v>35</x:v>
      </x:c>
      <x:c r="AD9" s="186" t="n">
        <x:v>35</x:v>
      </x:c>
      <x:c r="AE9" s="186" t="n">
        <x:v>35</x:v>
      </x:c>
      <x:c r="AF9" s="186" t="n">
        <x:v>40</x:v>
      </x:c>
      <x:c r="AG9" s="186" t="n">
        <x:v>35</x:v>
      </x:c>
      <x:c r="AH9" s="186" t="n">
        <x:v>40</x:v>
      </x:c>
      <x:c r="AI9" s="188" t="n">
        <x:f>SUM(D9:AH9)</x:f>
        <x:v>875</x:v>
      </x:c>
      <x:c r="AJ9" s="196" t="n">
        <x:f>D9*'Daftar Produk &amp; Harga'!$C$4+E9*'Daftar Produk &amp; Harga'!$C$5+F9*'Daftar Produk &amp; Harga'!$C$6+G9*'Daftar Produk &amp; Harga'!$C$7+H9*'Daftar Produk &amp; Harga'!$C$8+I9*'Daftar Produk &amp; Harga'!$C$9+J9*'Daftar Produk &amp; Harga'!$C$10+K9*'Daftar Produk &amp; Harga'!$C$11+L9*'Daftar Produk &amp; Harga'!$C$12+M9*'Daftar Produk &amp; Harga'!$C$13+N9*'Daftar Produk &amp; Harga'!$C$14+O9*'Daftar Produk &amp; Harga'!$C$15+P9*'Daftar Produk &amp; Harga'!$C$16+Q9*'Daftar Produk &amp; Harga'!$C$17+R9*'Daftar Produk &amp; Harga'!$C$18+S9*'Daftar Produk &amp; Harga'!$C$19+T9*'Daftar Produk &amp; Harga'!$C$20+U9*'Daftar Produk &amp; Harga'!$C$21+V9*'Daftar Produk &amp; Harga'!$C$22+W9*'Daftar Produk &amp; Harga'!$C$23+X9*'Daftar Produk &amp; Harga'!$C$24+Y9*'Daftar Produk &amp; Harga'!$C$25+Z9*'Daftar Produk &amp; Harga'!$C$26+AA9*'Daftar Produk &amp; Harga'!$C$27+AB9*'Daftar Produk &amp; Harga'!$C$28+AC9*'Daftar Produk &amp; Harga'!$C$29+AD9*'Daftar Produk &amp; Harga'!$C$30+AE9*'Daftar Produk &amp; Harga'!$C$31+AF9*'Daftar Produk &amp; Harga'!$C$32+AG9*'Daftar Produk &amp; Harga'!$C$33+AH9*'Daftar Produk &amp; Harga'!$C$34</x:f>
        <x:v>28925000</x:v>
      </x:c>
    </x:row>
    <x:row r="10" ht="18" customHeight="1">
      <x:c r="A10" s="178" t="n">
        <x:v>7</x:v>
      </x:c>
      <x:c r="B10" s="179" t="n">
        <x:v>46060</x:v>
      </x:c>
      <x:c r="C10" s="178" t="str">
        <x:v>Sabtu</x:v>
      </x:c>
      <x:c r="D10" s="184" t="n">
        <x:v>0</x:v>
      </x:c>
      <x:c r="E10" s="184" t="n">
        <x:v>0</x:v>
      </x:c>
      <x:c r="F10" s="184" t="n">
        <x:v>0</x:v>
      </x:c>
      <x:c r="G10" s="184" t="n">
        <x:v>0</x:v>
      </x:c>
      <x:c r="H10" s="184" t="n">
        <x:v>0</x:v>
      </x:c>
      <x:c r="I10" s="184" t="n">
        <x:v>50</x:v>
      </x:c>
      <x:c r="J10" s="184" t="n">
        <x:v>0</x:v>
      </x:c>
      <x:c r="K10" s="184" t="n">
        <x:v>0</x:v>
      </x:c>
      <x:c r="L10" s="184" t="n">
        <x:v>0</x:v>
      </x:c>
      <x:c r="M10" s="184" t="n">
        <x:v>40</x:v>
      </x:c>
      <x:c r="N10" s="186" t="n">
        <x:v>40</x:v>
      </x:c>
      <x:c r="O10" s="186" t="n">
        <x:v>40</x:v>
      </x:c>
      <x:c r="P10" s="186" t="n">
        <x:v>40</x:v>
      </x:c>
      <x:c r="Q10" s="186" t="n">
        <x:v>45</x:v>
      </x:c>
      <x:c r="R10" s="186" t="n">
        <x:v>35</x:v>
      </x:c>
      <x:c r="S10" s="186" t="n">
        <x:v>40</x:v>
      </x:c>
      <x:c r="T10" s="186" t="n">
        <x:v>40</x:v>
      </x:c>
      <x:c r="U10" s="186" t="n">
        <x:v>40</x:v>
      </x:c>
      <x:c r="V10" s="186" t="n">
        <x:v>35</x:v>
      </x:c>
      <x:c r="W10" s="186" t="n">
        <x:v>45</x:v>
      </x:c>
      <x:c r="X10" s="186" t="n">
        <x:v>35</x:v>
      </x:c>
      <x:c r="Y10" s="186" t="n">
        <x:v>35</x:v>
      </x:c>
      <x:c r="Z10" s="186" t="n">
        <x:v>40</x:v>
      </x:c>
      <x:c r="AA10" s="186" t="n">
        <x:v>35</x:v>
      </x:c>
      <x:c r="AB10" s="186" t="n">
        <x:v>35</x:v>
      </x:c>
      <x:c r="AC10" s="186" t="n">
        <x:v>40</x:v>
      </x:c>
      <x:c r="AD10" s="186" t="n">
        <x:v>40</x:v>
      </x:c>
      <x:c r="AE10" s="186" t="n">
        <x:v>45</x:v>
      </x:c>
      <x:c r="AF10" s="186" t="n">
        <x:v>50</x:v>
      </x:c>
      <x:c r="AG10" s="186" t="n">
        <x:v>40</x:v>
      </x:c>
      <x:c r="AH10" s="186" t="n">
        <x:v>35</x:v>
      </x:c>
      <x:c r="AI10" s="188" t="n">
        <x:f>SUM(D10:AH10)</x:f>
        <x:v>920</x:v>
      </x:c>
      <x:c r="AJ10" s="196" t="n">
        <x:f>D10*'Daftar Produk &amp; Harga'!$C$4+E10*'Daftar Produk &amp; Harga'!$C$5+F10*'Daftar Produk &amp; Harga'!$C$6+G10*'Daftar Produk &amp; Harga'!$C$7+H10*'Daftar Produk &amp; Harga'!$C$8+I10*'Daftar Produk &amp; Harga'!$C$9+J10*'Daftar Produk &amp; Harga'!$C$10+K10*'Daftar Produk &amp; Harga'!$C$11+L10*'Daftar Produk &amp; Harga'!$C$12+M10*'Daftar Produk &amp; Harga'!$C$13+N10*'Daftar Produk &amp; Harga'!$C$14+O10*'Daftar Produk &amp; Harga'!$C$15+P10*'Daftar Produk &amp; Harga'!$C$16+Q10*'Daftar Produk &amp; Harga'!$C$17+R10*'Daftar Produk &amp; Harga'!$C$18+S10*'Daftar Produk &amp; Harga'!$C$19+T10*'Daftar Produk &amp; Harga'!$C$20+U10*'Daftar Produk &amp; Harga'!$C$21+V10*'Daftar Produk &amp; Harga'!$C$22+W10*'Daftar Produk &amp; Harga'!$C$23+X10*'Daftar Produk &amp; Harga'!$C$24+Y10*'Daftar Produk &amp; Harga'!$C$25+Z10*'Daftar Produk &amp; Harga'!$C$26+AA10*'Daftar Produk &amp; Harga'!$C$27+AB10*'Daftar Produk &amp; Harga'!$C$28+AC10*'Daftar Produk &amp; Harga'!$C$29+AD10*'Daftar Produk &amp; Harga'!$C$30+AE10*'Daftar Produk &amp; Harga'!$C$31+AF10*'Daftar Produk &amp; Harga'!$C$32+AG10*'Daftar Produk &amp; Harga'!$C$33+AH10*'Daftar Produk &amp; Harga'!$C$34</x:f>
        <x:v>29430000</x:v>
      </x:c>
    </x:row>
    <x:row r="11" ht="18" customHeight="1">
      <x:c r="A11" s="178" t="n">
        <x:v>8</x:v>
      </x:c>
      <x:c r="B11" s="179" t="n">
        <x:v>46061</x:v>
      </x:c>
      <x:c r="C11" s="178" t="str">
        <x:v>Minggu</x:v>
      </x:c>
      <x:c r="D11" s="184" t="n">
        <x:v>0</x:v>
      </x:c>
      <x:c r="E11" s="184" t="n">
        <x:v>0</x:v>
      </x:c>
      <x:c r="F11" s="184" t="n">
        <x:v>0</x:v>
      </x:c>
      <x:c r="G11" s="184" t="n">
        <x:v>0</x:v>
      </x:c>
      <x:c r="H11" s="184" t="n">
        <x:v>0</x:v>
      </x:c>
      <x:c r="I11" s="184" t="n">
        <x:v>50</x:v>
      </x:c>
      <x:c r="J11" s="184" t="n">
        <x:v>0</x:v>
      </x:c>
      <x:c r="K11" s="184" t="n">
        <x:v>40</x:v>
      </x:c>
      <x:c r="L11" s="184" t="n">
        <x:v>0</x:v>
      </x:c>
      <x:c r="M11" s="184" t="n">
        <x:v>40</x:v>
      </x:c>
      <x:c r="N11" s="186" t="n">
        <x:v>40</x:v>
      </x:c>
      <x:c r="O11" s="186" t="n">
        <x:v>40</x:v>
      </x:c>
      <x:c r="P11" s="186" t="n">
        <x:v>40</x:v>
      </x:c>
      <x:c r="Q11" s="186" t="n">
        <x:v>45</x:v>
      </x:c>
      <x:c r="R11" s="186" t="n">
        <x:v>40</x:v>
      </x:c>
      <x:c r="S11" s="186" t="n">
        <x:v>45</x:v>
      </x:c>
      <x:c r="T11" s="186" t="n">
        <x:v>40</x:v>
      </x:c>
      <x:c r="U11" s="186" t="n">
        <x:v>40</x:v>
      </x:c>
      <x:c r="V11" s="186" t="n">
        <x:v>40</x:v>
      </x:c>
      <x:c r="W11" s="186" t="n">
        <x:v>45</x:v>
      </x:c>
      <x:c r="X11" s="186" t="n">
        <x:v>35</x:v>
      </x:c>
      <x:c r="Y11" s="186" t="n">
        <x:v>45</x:v>
      </x:c>
      <x:c r="Z11" s="186" t="n">
        <x:v>50</x:v>
      </x:c>
      <x:c r="AA11" s="186" t="n">
        <x:v>40</x:v>
      </x:c>
      <x:c r="AB11" s="186" t="n">
        <x:v>50</x:v>
      </x:c>
      <x:c r="AC11" s="186" t="n">
        <x:v>40</x:v>
      </x:c>
      <x:c r="AD11" s="186" t="n">
        <x:v>40</x:v>
      </x:c>
      <x:c r="AE11" s="186" t="n">
        <x:v>35</x:v>
      </x:c>
      <x:c r="AF11" s="186" t="n">
        <x:v>45</x:v>
      </x:c>
      <x:c r="AG11" s="186" t="n">
        <x:v>40</x:v>
      </x:c>
      <x:c r="AH11" s="186" t="n">
        <x:v>40</x:v>
      </x:c>
      <x:c r="AI11" s="188" t="n">
        <x:f>SUM(D11:AH11)</x:f>
        <x:v>1005</x:v>
      </x:c>
      <x:c r="AJ11" s="196" t="n">
        <x:f>D11*'Daftar Produk &amp; Harga'!$C$4+E11*'Daftar Produk &amp; Harga'!$C$5+F11*'Daftar Produk &amp; Harga'!$C$6+G11*'Daftar Produk &amp; Harga'!$C$7+H11*'Daftar Produk &amp; Harga'!$C$8+I11*'Daftar Produk &amp; Harga'!$C$9+J11*'Daftar Produk &amp; Harga'!$C$10+K11*'Daftar Produk &amp; Harga'!$C$11+L11*'Daftar Produk &amp; Harga'!$C$12+M11*'Daftar Produk &amp; Harga'!$C$13+N11*'Daftar Produk &amp; Harga'!$C$14+O11*'Daftar Produk &amp; Harga'!$C$15+P11*'Daftar Produk &amp; Harga'!$C$16+Q11*'Daftar Produk &amp; Harga'!$C$17+R11*'Daftar Produk &amp; Harga'!$C$18+S11*'Daftar Produk &amp; Harga'!$C$19+T11*'Daftar Produk &amp; Harga'!$C$20+U11*'Daftar Produk &amp; Harga'!$C$21+V11*'Daftar Produk &amp; Harga'!$C$22+W11*'Daftar Produk &amp; Harga'!$C$23+X11*'Daftar Produk &amp; Harga'!$C$24+Y11*'Daftar Produk &amp; Harga'!$C$25+Z11*'Daftar Produk &amp; Harga'!$C$26+AA11*'Daftar Produk &amp; Harga'!$C$27+AB11*'Daftar Produk &amp; Harga'!$C$28+AC11*'Daftar Produk &amp; Harga'!$C$29+AD11*'Daftar Produk &amp; Harga'!$C$30+AE11*'Daftar Produk &amp; Harga'!$C$31+AF11*'Daftar Produk &amp; Harga'!$C$32+AG11*'Daftar Produk &amp; Harga'!$C$33+AH11*'Daftar Produk &amp; Harga'!$C$34</x:f>
        <x:v>33660000</x:v>
      </x:c>
    </x:row>
    <x:row r="12" ht="18" customHeight="1">
      <x:c r="A12" s="178" t="n">
        <x:v>9</x:v>
      </x:c>
      <x:c r="B12" s="179" t="n">
        <x:v>46062</x:v>
      </x:c>
      <x:c r="C12" s="178" t="str">
        <x:v>Senin</x:v>
      </x:c>
      <x:c r="D12" s="184" t="n">
        <x:v>0</x:v>
      </x:c>
      <x:c r="E12" s="184" t="n">
        <x:v>0</x:v>
      </x:c>
      <x:c r="F12" s="184" t="n">
        <x:v>0</x:v>
      </x:c>
      <x:c r="G12" s="184" t="n">
        <x:v>0</x:v>
      </x:c>
      <x:c r="H12" s="184" t="n">
        <x:v>0</x:v>
      </x:c>
      <x:c r="I12" s="184" t="n">
        <x:v>0</x:v>
      </x:c>
      <x:c r="J12" s="184" t="n">
        <x:v>0</x:v>
      </x:c>
      <x:c r="K12" s="184" t="n">
        <x:v>40</x:v>
      </x:c>
      <x:c r="L12" s="184" t="n">
        <x:v>50</x:v>
      </x:c>
      <x:c r="M12" s="184" t="n">
        <x:v>50</x:v>
      </x:c>
      <x:c r="N12" s="186" t="n">
        <x:v>40</x:v>
      </x:c>
      <x:c r="O12" s="186" t="n">
        <x:v>35</x:v>
      </x:c>
      <x:c r="P12" s="186" t="n">
        <x:v>35</x:v>
      </x:c>
      <x:c r="Q12" s="186" t="n">
        <x:v>35</x:v>
      </x:c>
      <x:c r="R12" s="186" t="n">
        <x:v>30</x:v>
      </x:c>
      <x:c r="S12" s="186" t="n">
        <x:v>40</x:v>
      </x:c>
      <x:c r="T12" s="186" t="n">
        <x:v>40</x:v>
      </x:c>
      <x:c r="U12" s="186" t="n">
        <x:v>40</x:v>
      </x:c>
      <x:c r="V12" s="186" t="n">
        <x:v>35</x:v>
      </x:c>
      <x:c r="W12" s="186" t="n">
        <x:v>30</x:v>
      </x:c>
      <x:c r="X12" s="186" t="n">
        <x:v>30</x:v>
      </x:c>
      <x:c r="Y12" s="186" t="n">
        <x:v>35</x:v>
      </x:c>
      <x:c r="Z12" s="186" t="n">
        <x:v>30</x:v>
      </x:c>
      <x:c r="AA12" s="186" t="n">
        <x:v>30</x:v>
      </x:c>
      <x:c r="AB12" s="186" t="n">
        <x:v>40</x:v>
      </x:c>
      <x:c r="AC12" s="186" t="n">
        <x:v>35</x:v>
      </x:c>
      <x:c r="AD12" s="186" t="n">
        <x:v>40</x:v>
      </x:c>
      <x:c r="AE12" s="186" t="n">
        <x:v>30</x:v>
      </x:c>
      <x:c r="AF12" s="186" t="n">
        <x:v>30</x:v>
      </x:c>
      <x:c r="AG12" s="186" t="n">
        <x:v>30</x:v>
      </x:c>
      <x:c r="AH12" s="186" t="n">
        <x:v>35</x:v>
      </x:c>
      <x:c r="AI12" s="188" t="n">
        <x:f>SUM(D12:AH12)</x:f>
        <x:v>865</x:v>
      </x:c>
      <x:c r="AJ12" s="196" t="n">
        <x:f>D12*'Daftar Produk &amp; Harga'!$C$4+E12*'Daftar Produk &amp; Harga'!$C$5+F12*'Daftar Produk &amp; Harga'!$C$6+G12*'Daftar Produk &amp; Harga'!$C$7+H12*'Daftar Produk &amp; Harga'!$C$8+I12*'Daftar Produk &amp; Harga'!$C$9+J12*'Daftar Produk &amp; Harga'!$C$10+K12*'Daftar Produk &amp; Harga'!$C$11+L12*'Daftar Produk &amp; Harga'!$C$12+M12*'Daftar Produk &amp; Harga'!$C$13+N12*'Daftar Produk &amp; Harga'!$C$14+O12*'Daftar Produk &amp; Harga'!$C$15+P12*'Daftar Produk &amp; Harga'!$C$16+Q12*'Daftar Produk &amp; Harga'!$C$17+R12*'Daftar Produk &amp; Harga'!$C$18+S12*'Daftar Produk &amp; Harga'!$C$19+T12*'Daftar Produk &amp; Harga'!$C$20+U12*'Daftar Produk &amp; Harga'!$C$21+V12*'Daftar Produk &amp; Harga'!$C$22+W12*'Daftar Produk &amp; Harga'!$C$23+X12*'Daftar Produk &amp; Harga'!$C$24+Y12*'Daftar Produk &amp; Harga'!$C$25+Z12*'Daftar Produk &amp; Harga'!$C$26+AA12*'Daftar Produk &amp; Harga'!$C$27+AB12*'Daftar Produk &amp; Harga'!$C$28+AC12*'Daftar Produk &amp; Harga'!$C$29+AD12*'Daftar Produk &amp; Harga'!$C$30+AE12*'Daftar Produk &amp; Harga'!$C$31+AF12*'Daftar Produk &amp; Harga'!$C$32+AG12*'Daftar Produk &amp; Harga'!$C$33+AH12*'Daftar Produk &amp; Harga'!$C$34</x:f>
        <x:v>30130000</x:v>
      </x:c>
    </x:row>
    <x:row r="13" ht="18" customHeight="1">
      <x:c r="A13" s="178" t="n">
        <x:v>10</x:v>
      </x:c>
      <x:c r="B13" s="179" t="n">
        <x:v>46063</x:v>
      </x:c>
      <x:c r="C13" s="178" t="str">
        <x:v>Selasa</x:v>
      </x:c>
      <x:c r="D13" s="184" t="n">
        <x:v>0</x:v>
      </x:c>
      <x:c r="E13" s="184" t="n">
        <x:v>0</x:v>
      </x:c>
      <x:c r="F13" s="184" t="n">
        <x:v>0</x:v>
      </x:c>
      <x:c r="G13" s="184" t="n">
        <x:v>0</x:v>
      </x:c>
      <x:c r="H13" s="184" t="n">
        <x:v>0</x:v>
      </x:c>
      <x:c r="I13" s="184" t="n">
        <x:v>0</x:v>
      </x:c>
      <x:c r="J13" s="184" t="n">
        <x:v>0</x:v>
      </x:c>
      <x:c r="K13" s="184" t="n">
        <x:v>50</x:v>
      </x:c>
      <x:c r="L13" s="184" t="n">
        <x:v>50</x:v>
      </x:c>
      <x:c r="M13" s="184" t="n">
        <x:v>50</x:v>
      </x:c>
      <x:c r="N13" s="186" t="n">
        <x:v>35</x:v>
      </x:c>
      <x:c r="O13" s="186" t="n">
        <x:v>40</x:v>
      </x:c>
      <x:c r="P13" s="186" t="n">
        <x:v>40</x:v>
      </x:c>
      <x:c r="Q13" s="186" t="n">
        <x:v>40</x:v>
      </x:c>
      <x:c r="R13" s="186" t="n">
        <x:v>40</x:v>
      </x:c>
      <x:c r="S13" s="186" t="n">
        <x:v>35</x:v>
      </x:c>
      <x:c r="T13" s="186" t="n">
        <x:v>35</x:v>
      </x:c>
      <x:c r="U13" s="186" t="n">
        <x:v>40</x:v>
      </x:c>
      <x:c r="V13" s="186" t="n">
        <x:v>40</x:v>
      </x:c>
      <x:c r="W13" s="186" t="n">
        <x:v>30</x:v>
      </x:c>
      <x:c r="X13" s="186" t="n">
        <x:v>30</x:v>
      </x:c>
      <x:c r="Y13" s="186" t="n">
        <x:v>30</x:v>
      </x:c>
      <x:c r="Z13" s="186" t="n">
        <x:v>40</x:v>
      </x:c>
      <x:c r="AA13" s="186" t="n">
        <x:v>30</x:v>
      </x:c>
      <x:c r="AB13" s="186" t="n">
        <x:v>35</x:v>
      </x:c>
      <x:c r="AC13" s="186" t="n">
        <x:v>35</x:v>
      </x:c>
      <x:c r="AD13" s="186" t="n">
        <x:v>30</x:v>
      </x:c>
      <x:c r="AE13" s="186" t="n">
        <x:v>40</x:v>
      </x:c>
      <x:c r="AF13" s="186" t="n">
        <x:v>30</x:v>
      </x:c>
      <x:c r="AG13" s="186" t="n">
        <x:v>30</x:v>
      </x:c>
      <x:c r="AH13" s="186" t="n">
        <x:v>40</x:v>
      </x:c>
      <x:c r="AI13" s="188" t="n">
        <x:f>SUM(D13:AH13)</x:f>
        <x:v>895</x:v>
      </x:c>
      <x:c r="AJ13" s="196" t="n">
        <x:f>D13*'Daftar Produk &amp; Harga'!$C$4+E13*'Daftar Produk &amp; Harga'!$C$5+F13*'Daftar Produk &amp; Harga'!$C$6+G13*'Daftar Produk &amp; Harga'!$C$7+H13*'Daftar Produk &amp; Harga'!$C$8+I13*'Daftar Produk &amp; Harga'!$C$9+J13*'Daftar Produk &amp; Harga'!$C$10+K13*'Daftar Produk &amp; Harga'!$C$11+L13*'Daftar Produk &amp; Harga'!$C$12+M13*'Daftar Produk &amp; Harga'!$C$13+N13*'Daftar Produk &amp; Harga'!$C$14+O13*'Daftar Produk &amp; Harga'!$C$15+P13*'Daftar Produk &amp; Harga'!$C$16+Q13*'Daftar Produk &amp; Harga'!$C$17+R13*'Daftar Produk &amp; Harga'!$C$18+S13*'Daftar Produk &amp; Harga'!$C$19+T13*'Daftar Produk &amp; Harga'!$C$20+U13*'Daftar Produk &amp; Harga'!$C$21+V13*'Daftar Produk &amp; Harga'!$C$22+W13*'Daftar Produk &amp; Harga'!$C$23+X13*'Daftar Produk &amp; Harga'!$C$24+Y13*'Daftar Produk &amp; Harga'!$C$25+Z13*'Daftar Produk &amp; Harga'!$C$26+AA13*'Daftar Produk &amp; Harga'!$C$27+AB13*'Daftar Produk &amp; Harga'!$C$28+AC13*'Daftar Produk &amp; Harga'!$C$29+AD13*'Daftar Produk &amp; Harga'!$C$30+AE13*'Daftar Produk &amp; Harga'!$C$31+AF13*'Daftar Produk &amp; Harga'!$C$32+AG13*'Daftar Produk &amp; Harga'!$C$33+AH13*'Daftar Produk &amp; Harga'!$C$34</x:f>
        <x:v>31290000</x:v>
      </x:c>
    </x:row>
    <x:row r="14" ht="18" customHeight="1">
      <x:c r="A14" s="178" t="n">
        <x:v>11</x:v>
      </x:c>
      <x:c r="B14" s="179" t="n">
        <x:v>46064</x:v>
      </x:c>
      <x:c r="C14" s="178" t="str">
        <x:v>Rabu</x:v>
      </x:c>
      <x:c r="D14" s="184" t="n">
        <x:v>0</x:v>
      </x:c>
      <x:c r="E14" s="184" t="n">
        <x:v>0</x:v>
      </x:c>
      <x:c r="F14" s="184" t="n">
        <x:v>0</x:v>
      </x:c>
      <x:c r="G14" s="184" t="n">
        <x:v>0</x:v>
      </x:c>
      <x:c r="H14" s="184" t="n">
        <x:v>0</x:v>
      </x:c>
      <x:c r="I14" s="184" t="n">
        <x:v>0</x:v>
      </x:c>
      <x:c r="J14" s="184" t="n">
        <x:v>0</x:v>
      </x:c>
      <x:c r="K14" s="184" t="n">
        <x:v>50</x:v>
      </x:c>
      <x:c r="L14" s="184" t="n">
        <x:v>0</x:v>
      </x:c>
      <x:c r="M14" s="184" t="n">
        <x:v>0</x:v>
      </x:c>
      <x:c r="N14" s="186" t="n">
        <x:v>40</x:v>
      </x:c>
      <x:c r="O14" s="186" t="n">
        <x:v>40</x:v>
      </x:c>
      <x:c r="P14" s="186" t="n">
        <x:v>30</x:v>
      </x:c>
      <x:c r="Q14" s="186" t="n">
        <x:v>35</x:v>
      </x:c>
      <x:c r="R14" s="186" t="n">
        <x:v>35</x:v>
      </x:c>
      <x:c r="S14" s="186" t="n">
        <x:v>35</x:v>
      </x:c>
      <x:c r="T14" s="186" t="n">
        <x:v>35</x:v>
      </x:c>
      <x:c r="U14" s="186" t="n">
        <x:v>40</x:v>
      </x:c>
      <x:c r="V14" s="186" t="n">
        <x:v>35</x:v>
      </x:c>
      <x:c r="W14" s="186" t="n">
        <x:v>35</x:v>
      </x:c>
      <x:c r="X14" s="186" t="n">
        <x:v>35</x:v>
      </x:c>
      <x:c r="Y14" s="186" t="n">
        <x:v>35</x:v>
      </x:c>
      <x:c r="Z14" s="186" t="n">
        <x:v>30</x:v>
      </x:c>
      <x:c r="AA14" s="186" t="n">
        <x:v>30</x:v>
      </x:c>
      <x:c r="AB14" s="186" t="n">
        <x:v>30</x:v>
      </x:c>
      <x:c r="AC14" s="186" t="n">
        <x:v>40</x:v>
      </x:c>
      <x:c r="AD14" s="186" t="n">
        <x:v>30</x:v>
      </x:c>
      <x:c r="AE14" s="186" t="n">
        <x:v>35</x:v>
      </x:c>
      <x:c r="AF14" s="186" t="n">
        <x:v>30</x:v>
      </x:c>
      <x:c r="AG14" s="186" t="n">
        <x:v>35</x:v>
      </x:c>
      <x:c r="AH14" s="186" t="n">
        <x:v>30</x:v>
      </x:c>
      <x:c r="AI14" s="188" t="n">
        <x:f>SUM(D14:AH14)</x:f>
        <x:v>770</x:v>
      </x:c>
      <x:c r="AJ14" s="196" t="n">
        <x:f>D14*'Daftar Produk &amp; Harga'!$C$4+E14*'Daftar Produk &amp; Harga'!$C$5+F14*'Daftar Produk &amp; Harga'!$C$6+G14*'Daftar Produk &amp; Harga'!$C$7+H14*'Daftar Produk &amp; Harga'!$C$8+I14*'Daftar Produk &amp; Harga'!$C$9+J14*'Daftar Produk &amp; Harga'!$C$10+K14*'Daftar Produk &amp; Harga'!$C$11+L14*'Daftar Produk &amp; Harga'!$C$12+M14*'Daftar Produk &amp; Harga'!$C$13+N14*'Daftar Produk &amp; Harga'!$C$14+O14*'Daftar Produk &amp; Harga'!$C$15+P14*'Daftar Produk &amp; Harga'!$C$16+Q14*'Daftar Produk &amp; Harga'!$C$17+R14*'Daftar Produk &amp; Harga'!$C$18+S14*'Daftar Produk &amp; Harga'!$C$19+T14*'Daftar Produk &amp; Harga'!$C$20+U14*'Daftar Produk &amp; Harga'!$C$21+V14*'Daftar Produk &amp; Harga'!$C$22+W14*'Daftar Produk &amp; Harga'!$C$23+X14*'Daftar Produk &amp; Harga'!$C$24+Y14*'Daftar Produk &amp; Harga'!$C$25+Z14*'Daftar Produk &amp; Harga'!$C$26+AA14*'Daftar Produk &amp; Harga'!$C$27+AB14*'Daftar Produk &amp; Harga'!$C$28+AC14*'Daftar Produk &amp; Harga'!$C$29+AD14*'Daftar Produk &amp; Harga'!$C$30+AE14*'Daftar Produk &amp; Harga'!$C$31+AF14*'Daftar Produk &amp; Harga'!$C$32+AG14*'Daftar Produk &amp; Harga'!$C$33+AH14*'Daftar Produk &amp; Harga'!$C$34</x:f>
        <x:v>26510000</x:v>
      </x:c>
    </x:row>
    <x:row r="15" ht="18" customHeight="1">
      <x:c r="A15" s="178" t="n">
        <x:v>12</x:v>
      </x:c>
      <x:c r="B15" s="179" t="n">
        <x:v>46065</x:v>
      </x:c>
      <x:c r="C15" s="178" t="str">
        <x:v>Kamis</x:v>
      </x:c>
      <x:c r="D15" s="184" t="n">
        <x:v>0</x:v>
      </x:c>
      <x:c r="E15" s="184" t="n">
        <x:v>0</x:v>
      </x:c>
      <x:c r="F15" s="184" t="n">
        <x:v>0</x:v>
      </x:c>
      <x:c r="G15" s="184" t="n">
        <x:v>0</x:v>
      </x:c>
      <x:c r="H15" s="184" t="n">
        <x:v>0</x:v>
      </x:c>
      <x:c r="I15" s="184" t="n">
        <x:v>0</x:v>
      </x:c>
      <x:c r="J15" s="184" t="n">
        <x:v>0</x:v>
      </x:c>
      <x:c r="K15" s="184" t="n">
        <x:v>0</x:v>
      </x:c>
      <x:c r="L15" s="184" t="n">
        <x:v>0</x:v>
      </x:c>
      <x:c r="M15" s="184" t="n">
        <x:v>0</x:v>
      </x:c>
      <x:c r="N15" s="186" t="n">
        <x:v>30</x:v>
      </x:c>
      <x:c r="O15" s="186" t="n">
        <x:v>35</x:v>
      </x:c>
      <x:c r="P15" s="186" t="n">
        <x:v>30</x:v>
      </x:c>
      <x:c r="Q15" s="186" t="n">
        <x:v>40</x:v>
      </x:c>
      <x:c r="R15" s="186" t="n">
        <x:v>35</x:v>
      </x:c>
      <x:c r="S15" s="186" t="n">
        <x:v>30</x:v>
      </x:c>
      <x:c r="T15" s="186" t="n">
        <x:v>30</x:v>
      </x:c>
      <x:c r="U15" s="186" t="n">
        <x:v>40</x:v>
      </x:c>
      <x:c r="V15" s="186" t="n">
        <x:v>35</x:v>
      </x:c>
      <x:c r="W15" s="186" t="n">
        <x:v>30</x:v>
      </x:c>
      <x:c r="X15" s="186" t="n">
        <x:v>35</x:v>
      </x:c>
      <x:c r="Y15" s="186" t="n">
        <x:v>40</x:v>
      </x:c>
      <x:c r="Z15" s="186" t="n">
        <x:v>40</x:v>
      </x:c>
      <x:c r="AA15" s="186" t="n">
        <x:v>35</x:v>
      </x:c>
      <x:c r="AB15" s="186" t="n">
        <x:v>30</x:v>
      </x:c>
      <x:c r="AC15" s="186" t="n">
        <x:v>35</x:v>
      </x:c>
      <x:c r="AD15" s="186" t="n">
        <x:v>35</x:v>
      </x:c>
      <x:c r="AE15" s="186" t="n">
        <x:v>35</x:v>
      </x:c>
      <x:c r="AF15" s="186" t="n">
        <x:v>35</x:v>
      </x:c>
      <x:c r="AG15" s="186" t="n">
        <x:v>40</x:v>
      </x:c>
      <x:c r="AH15" s="186" t="n">
        <x:v>40</x:v>
      </x:c>
      <x:c r="AI15" s="188" t="n">
        <x:f>SUM(D15:AH15)</x:f>
        <x:v>735</x:v>
      </x:c>
      <x:c r="AJ15" s="196" t="n">
        <x:f>D15*'Daftar Produk &amp; Harga'!$C$4+E15*'Daftar Produk &amp; Harga'!$C$5+F15*'Daftar Produk &amp; Harga'!$C$6+G15*'Daftar Produk &amp; Harga'!$C$7+H15*'Daftar Produk &amp; Harga'!$C$8+I15*'Daftar Produk &amp; Harga'!$C$9+J15*'Daftar Produk &amp; Harga'!$C$10+K15*'Daftar Produk &amp; Harga'!$C$11+L15*'Daftar Produk &amp; Harga'!$C$12+M15*'Daftar Produk &amp; Harga'!$C$13+N15*'Daftar Produk &amp; Harga'!$C$14+O15*'Daftar Produk &amp; Harga'!$C$15+P15*'Daftar Produk &amp; Harga'!$C$16+Q15*'Daftar Produk &amp; Harga'!$C$17+R15*'Daftar Produk &amp; Harga'!$C$18+S15*'Daftar Produk &amp; Harga'!$C$19+T15*'Daftar Produk &amp; Harga'!$C$20+U15*'Daftar Produk &amp; Harga'!$C$21+V15*'Daftar Produk &amp; Harga'!$C$22+W15*'Daftar Produk &amp; Harga'!$C$23+X15*'Daftar Produk &amp; Harga'!$C$24+Y15*'Daftar Produk &amp; Harga'!$C$25+Z15*'Daftar Produk &amp; Harga'!$C$26+AA15*'Daftar Produk &amp; Harga'!$C$27+AB15*'Daftar Produk &amp; Harga'!$C$28+AC15*'Daftar Produk &amp; Harga'!$C$29+AD15*'Daftar Produk &amp; Harga'!$C$30+AE15*'Daftar Produk &amp; Harga'!$C$31+AF15*'Daftar Produk &amp; Harga'!$C$32+AG15*'Daftar Produk &amp; Harga'!$C$33+AH15*'Daftar Produk &amp; Harga'!$C$34</x:f>
        <x:v>23555000</x:v>
      </x:c>
    </x:row>
    <x:row r="16" ht="18" customHeight="1">
      <x:c r="A16" s="178" t="n">
        <x:v>13</x:v>
      </x:c>
      <x:c r="B16" s="179" t="n">
        <x:v>46066</x:v>
      </x:c>
      <x:c r="C16" s="178" t="str">
        <x:v>Jumat</x:v>
      </x:c>
      <x:c r="D16" s="184" t="n">
        <x:v>0</x:v>
      </x:c>
      <x:c r="E16" s="184" t="n">
        <x:v>0</x:v>
      </x:c>
      <x:c r="F16" s="184" t="n">
        <x:v>0</x:v>
      </x:c>
      <x:c r="G16" s="184" t="n">
        <x:v>0</x:v>
      </x:c>
      <x:c r="H16" s="184" t="n">
        <x:v>0</x:v>
      </x:c>
      <x:c r="I16" s="184" t="n">
        <x:v>0</x:v>
      </x:c>
      <x:c r="J16" s="184" t="n">
        <x:v>0</x:v>
      </x:c>
      <x:c r="K16" s="184" t="n">
        <x:v>0</x:v>
      </x:c>
      <x:c r="L16" s="184" t="n">
        <x:v>0</x:v>
      </x:c>
      <x:c r="M16" s="184" t="n">
        <x:v>0</x:v>
      </x:c>
      <x:c r="N16" s="186" t="n">
        <x:v>30</x:v>
      </x:c>
      <x:c r="O16" s="186" t="n">
        <x:v>35</x:v>
      </x:c>
      <x:c r="P16" s="186" t="n">
        <x:v>40</x:v>
      </x:c>
      <x:c r="Q16" s="186" t="n">
        <x:v>40</x:v>
      </x:c>
      <x:c r="R16" s="186" t="n">
        <x:v>35</x:v>
      </x:c>
      <x:c r="S16" s="186" t="n">
        <x:v>30</x:v>
      </x:c>
      <x:c r="T16" s="186" t="n">
        <x:v>30</x:v>
      </x:c>
      <x:c r="U16" s="186" t="n">
        <x:v>40</x:v>
      </x:c>
      <x:c r="V16" s="186" t="n">
        <x:v>40</x:v>
      </x:c>
      <x:c r="W16" s="186" t="n">
        <x:v>30</x:v>
      </x:c>
      <x:c r="X16" s="186" t="n">
        <x:v>35</x:v>
      </x:c>
      <x:c r="Y16" s="186" t="n">
        <x:v>35</x:v>
      </x:c>
      <x:c r="Z16" s="186" t="n">
        <x:v>30</x:v>
      </x:c>
      <x:c r="AA16" s="186" t="n">
        <x:v>40</x:v>
      </x:c>
      <x:c r="AB16" s="186" t="n">
        <x:v>35</x:v>
      </x:c>
      <x:c r="AC16" s="186" t="n">
        <x:v>35</x:v>
      </x:c>
      <x:c r="AD16" s="186" t="n">
        <x:v>35</x:v>
      </x:c>
      <x:c r="AE16" s="186" t="n">
        <x:v>30</x:v>
      </x:c>
      <x:c r="AF16" s="186" t="n">
        <x:v>35</x:v>
      </x:c>
      <x:c r="AG16" s="186" t="n">
        <x:v>35</x:v>
      </x:c>
      <x:c r="AH16" s="186" t="n">
        <x:v>35</x:v>
      </x:c>
      <x:c r="AI16" s="188" t="n">
        <x:f>SUM(D16:AH16)</x:f>
        <x:v>730</x:v>
      </x:c>
      <x:c r="AJ16" s="196" t="n">
        <x:f>D16*'Daftar Produk &amp; Harga'!$C$4+E16*'Daftar Produk &amp; Harga'!$C$5+F16*'Daftar Produk &amp; Harga'!$C$6+G16*'Daftar Produk &amp; Harga'!$C$7+H16*'Daftar Produk &amp; Harga'!$C$8+I16*'Daftar Produk &amp; Harga'!$C$9+J16*'Daftar Produk &amp; Harga'!$C$10+K16*'Daftar Produk &amp; Harga'!$C$11+L16*'Daftar Produk &amp; Harga'!$C$12+M16*'Daftar Produk &amp; Harga'!$C$13+N16*'Daftar Produk &amp; Harga'!$C$14+O16*'Daftar Produk &amp; Harga'!$C$15+P16*'Daftar Produk &amp; Harga'!$C$16+Q16*'Daftar Produk &amp; Harga'!$C$17+R16*'Daftar Produk &amp; Harga'!$C$18+S16*'Daftar Produk &amp; Harga'!$C$19+T16*'Daftar Produk &amp; Harga'!$C$20+U16*'Daftar Produk &amp; Harga'!$C$21+V16*'Daftar Produk &amp; Harga'!$C$22+W16*'Daftar Produk &amp; Harga'!$C$23+X16*'Daftar Produk &amp; Harga'!$C$24+Y16*'Daftar Produk &amp; Harga'!$C$25+Z16*'Daftar Produk &amp; Harga'!$C$26+AA16*'Daftar Produk &amp; Harga'!$C$27+AB16*'Daftar Produk &amp; Harga'!$C$28+AC16*'Daftar Produk &amp; Harga'!$C$29+AD16*'Daftar Produk &amp; Harga'!$C$30+AE16*'Daftar Produk &amp; Harga'!$C$31+AF16*'Daftar Produk &amp; Harga'!$C$32+AG16*'Daftar Produk &amp; Harga'!$C$33+AH16*'Daftar Produk &amp; Harga'!$C$34</x:f>
        <x:v>23455000</x:v>
      </x:c>
    </x:row>
    <x:row r="17" ht="18" customHeight="1">
      <x:c r="A17" s="178" t="n">
        <x:v>14</x:v>
      </x:c>
      <x:c r="B17" s="179" t="n">
        <x:v>46067</x:v>
      </x:c>
      <x:c r="C17" s="178" t="str">
        <x:v>Sabtu</x:v>
      </x:c>
      <x:c r="D17" s="184" t="n">
        <x:v>0</x:v>
      </x:c>
      <x:c r="E17" s="184" t="n">
        <x:v>0</x:v>
      </x:c>
      <x:c r="F17" s="184" t="n">
        <x:v>40</x:v>
      </x:c>
      <x:c r="G17" s="184" t="n">
        <x:v>0</x:v>
      </x:c>
      <x:c r="H17" s="184" t="n">
        <x:v>0</x:v>
      </x:c>
      <x:c r="I17" s="184" t="n">
        <x:v>0</x:v>
      </x:c>
      <x:c r="J17" s="184" t="n">
        <x:v>0</x:v>
      </x:c>
      <x:c r="K17" s="184" t="n">
        <x:v>0</x:v>
      </x:c>
      <x:c r="L17" s="184" t="n">
        <x:v>0</x:v>
      </x:c>
      <x:c r="M17" s="184" t="n">
        <x:v>0</x:v>
      </x:c>
      <x:c r="N17" s="186" t="n">
        <x:v>35</x:v>
      </x:c>
      <x:c r="O17" s="186" t="n">
        <x:v>45</x:v>
      </x:c>
      <x:c r="P17" s="186" t="n">
        <x:v>40</x:v>
      </x:c>
      <x:c r="Q17" s="186" t="n">
        <x:v>45</x:v>
      </x:c>
      <x:c r="R17" s="186" t="n">
        <x:v>45</x:v>
      </x:c>
      <x:c r="S17" s="186" t="n">
        <x:v>35</x:v>
      </x:c>
      <x:c r="T17" s="186" t="n">
        <x:v>50</x:v>
      </x:c>
      <x:c r="U17" s="186" t="n">
        <x:v>40</x:v>
      </x:c>
      <x:c r="V17" s="186" t="n">
        <x:v>45</x:v>
      </x:c>
      <x:c r="W17" s="186" t="n">
        <x:v>40</x:v>
      </x:c>
      <x:c r="X17" s="186" t="n">
        <x:v>45</x:v>
      </x:c>
      <x:c r="Y17" s="186" t="n">
        <x:v>40</x:v>
      </x:c>
      <x:c r="Z17" s="186" t="n">
        <x:v>45</x:v>
      </x:c>
      <x:c r="AA17" s="186" t="n">
        <x:v>45</x:v>
      </x:c>
      <x:c r="AB17" s="186" t="n">
        <x:v>45</x:v>
      </x:c>
      <x:c r="AC17" s="186" t="n">
        <x:v>45</x:v>
      </x:c>
      <x:c r="AD17" s="186" t="n">
        <x:v>45</x:v>
      </x:c>
      <x:c r="AE17" s="186" t="n">
        <x:v>45</x:v>
      </x:c>
      <x:c r="AF17" s="186" t="n">
        <x:v>45</x:v>
      </x:c>
      <x:c r="AG17" s="186" t="n">
        <x:v>45</x:v>
      </x:c>
      <x:c r="AH17" s="186" t="n">
        <x:v>40</x:v>
      </x:c>
      <x:c r="AI17" s="188" t="n">
        <x:f>SUM(D17:AH17)</x:f>
        <x:v>945</x:v>
      </x:c>
      <x:c r="AJ17" s="196" t="n">
        <x:f>D17*'Daftar Produk &amp; Harga'!$C$4+E17*'Daftar Produk &amp; Harga'!$C$5+F17*'Daftar Produk &amp; Harga'!$C$6+G17*'Daftar Produk &amp; Harga'!$C$7+H17*'Daftar Produk &amp; Harga'!$C$8+I17*'Daftar Produk &amp; Harga'!$C$9+J17*'Daftar Produk &amp; Harga'!$C$10+K17*'Daftar Produk &amp; Harga'!$C$11+L17*'Daftar Produk &amp; Harga'!$C$12+M17*'Daftar Produk &amp; Harga'!$C$13+N17*'Daftar Produk &amp; Harga'!$C$14+O17*'Daftar Produk &amp; Harga'!$C$15+P17*'Daftar Produk &amp; Harga'!$C$16+Q17*'Daftar Produk &amp; Harga'!$C$17+R17*'Daftar Produk &amp; Harga'!$C$18+S17*'Daftar Produk &amp; Harga'!$C$19+T17*'Daftar Produk &amp; Harga'!$C$20+U17*'Daftar Produk &amp; Harga'!$C$21+V17*'Daftar Produk &amp; Harga'!$C$22+W17*'Daftar Produk &amp; Harga'!$C$23+X17*'Daftar Produk &amp; Harga'!$C$24+Y17*'Daftar Produk &amp; Harga'!$C$25+Z17*'Daftar Produk &amp; Harga'!$C$26+AA17*'Daftar Produk &amp; Harga'!$C$27+AB17*'Daftar Produk &amp; Harga'!$C$28+AC17*'Daftar Produk &amp; Harga'!$C$29+AD17*'Daftar Produk &amp; Harga'!$C$30+AE17*'Daftar Produk &amp; Harga'!$C$31+AF17*'Daftar Produk &amp; Harga'!$C$32+AG17*'Daftar Produk &amp; Harga'!$C$33+AH17*'Daftar Produk &amp; Harga'!$C$34</x:f>
        <x:v>29515000</x:v>
      </x:c>
    </x:row>
    <x:row r="18" ht="18" customHeight="1">
      <x:c r="A18" s="178" t="n">
        <x:v>15</x:v>
      </x:c>
      <x:c r="B18" s="179" t="n">
        <x:v>46068</x:v>
      </x:c>
      <x:c r="C18" s="178" t="str">
        <x:v>Minggu</x:v>
      </x:c>
      <x:c r="D18" s="184" t="n">
        <x:v>0</x:v>
      </x:c>
      <x:c r="E18" s="184" t="n">
        <x:v>0</x:v>
      </x:c>
      <x:c r="F18" s="184" t="n">
        <x:v>40</x:v>
      </x:c>
      <x:c r="G18" s="184" t="n">
        <x:v>0</x:v>
      </x:c>
      <x:c r="H18" s="184" t="n">
        <x:v>0</x:v>
      </x:c>
      <x:c r="I18" s="184" t="n">
        <x:v>0</x:v>
      </x:c>
      <x:c r="J18" s="184" t="n">
        <x:v>0</x:v>
      </x:c>
      <x:c r="K18" s="184" t="n">
        <x:v>0</x:v>
      </x:c>
      <x:c r="L18" s="184" t="n">
        <x:v>0</x:v>
      </x:c>
      <x:c r="M18" s="184" t="n">
        <x:v>0</x:v>
      </x:c>
      <x:c r="N18" s="186" t="n">
        <x:v>45</x:v>
      </x:c>
      <x:c r="O18" s="186" t="n">
        <x:v>40</x:v>
      </x:c>
      <x:c r="P18" s="186" t="n">
        <x:v>50</x:v>
      </x:c>
      <x:c r="Q18" s="186" t="n">
        <x:v>45</x:v>
      </x:c>
      <x:c r="R18" s="186" t="n">
        <x:v>50</x:v>
      </x:c>
      <x:c r="S18" s="186" t="n">
        <x:v>45</x:v>
      </x:c>
      <x:c r="T18" s="186" t="n">
        <x:v>40</x:v>
      </x:c>
      <x:c r="U18" s="186" t="n">
        <x:v>45</x:v>
      </x:c>
      <x:c r="V18" s="186" t="n">
        <x:v>45</x:v>
      </x:c>
      <x:c r="W18" s="186" t="n">
        <x:v>35</x:v>
      </x:c>
      <x:c r="X18" s="186" t="n">
        <x:v>35</x:v>
      </x:c>
      <x:c r="Y18" s="186" t="n">
        <x:v>45</x:v>
      </x:c>
      <x:c r="Z18" s="186" t="n">
        <x:v>45</x:v>
      </x:c>
      <x:c r="AA18" s="186" t="n">
        <x:v>40</x:v>
      </x:c>
      <x:c r="AB18" s="186" t="n">
        <x:v>35</x:v>
      </x:c>
      <x:c r="AC18" s="186" t="n">
        <x:v>45</x:v>
      </x:c>
      <x:c r="AD18" s="186" t="n">
        <x:v>40</x:v>
      </x:c>
      <x:c r="AE18" s="186" t="n">
        <x:v>40</x:v>
      </x:c>
      <x:c r="AF18" s="186" t="n">
        <x:v>50</x:v>
      </x:c>
      <x:c r="AG18" s="186" t="n">
        <x:v>45</x:v>
      </x:c>
      <x:c r="AH18" s="186" t="n">
        <x:v>40</x:v>
      </x:c>
      <x:c r="AI18" s="188" t="n">
        <x:f>SUM(D18:AH18)</x:f>
        <x:v>940</x:v>
      </x:c>
      <x:c r="AJ18" s="196" t="n">
        <x:f>D18*'Daftar Produk &amp; Harga'!$C$4+E18*'Daftar Produk &amp; Harga'!$C$5+F18*'Daftar Produk &amp; Harga'!$C$6+G18*'Daftar Produk &amp; Harga'!$C$7+H18*'Daftar Produk &amp; Harga'!$C$8+I18*'Daftar Produk &amp; Harga'!$C$9+J18*'Daftar Produk &amp; Harga'!$C$10+K18*'Daftar Produk &amp; Harga'!$C$11+L18*'Daftar Produk &amp; Harga'!$C$12+M18*'Daftar Produk &amp; Harga'!$C$13+N18*'Daftar Produk &amp; Harga'!$C$14+O18*'Daftar Produk &amp; Harga'!$C$15+P18*'Daftar Produk &amp; Harga'!$C$16+Q18*'Daftar Produk &amp; Harga'!$C$17+R18*'Daftar Produk &amp; Harga'!$C$18+S18*'Daftar Produk &amp; Harga'!$C$19+T18*'Daftar Produk &amp; Harga'!$C$20+U18*'Daftar Produk &amp; Harga'!$C$21+V18*'Daftar Produk &amp; Harga'!$C$22+W18*'Daftar Produk &amp; Harga'!$C$23+X18*'Daftar Produk &amp; Harga'!$C$24+Y18*'Daftar Produk &amp; Harga'!$C$25+Z18*'Daftar Produk &amp; Harga'!$C$26+AA18*'Daftar Produk &amp; Harga'!$C$27+AB18*'Daftar Produk &amp; Harga'!$C$28+AC18*'Daftar Produk &amp; Harga'!$C$29+AD18*'Daftar Produk &amp; Harga'!$C$30+AE18*'Daftar Produk &amp; Harga'!$C$31+AF18*'Daftar Produk &amp; Harga'!$C$32+AG18*'Daftar Produk &amp; Harga'!$C$33+AH18*'Daftar Produk &amp; Harga'!$C$34</x:f>
        <x:v>29800000</x:v>
      </x:c>
    </x:row>
    <x:row r="19" ht="18" customHeight="1">
      <x:c r="A19" s="178" t="n">
        <x:v>16</x:v>
      </x:c>
      <x:c r="B19" s="179" t="n">
        <x:v>46069</x:v>
      </x:c>
      <x:c r="C19" s="178" t="str">
        <x:v>Senin</x:v>
      </x:c>
      <x:c r="D19" s="184" t="n">
        <x:v>50</x:v>
      </x:c>
      <x:c r="E19" s="184" t="n">
        <x:v>0</x:v>
      </x:c>
      <x:c r="F19" s="184" t="n">
        <x:v>0</x:v>
      </x:c>
      <x:c r="G19" s="184" t="n">
        <x:v>0</x:v>
      </x:c>
      <x:c r="H19" s="184" t="n">
        <x:v>0</x:v>
      </x:c>
      <x:c r="I19" s="184" t="n">
        <x:v>0</x:v>
      </x:c>
      <x:c r="J19" s="184" t="n">
        <x:v>0</x:v>
      </x:c>
      <x:c r="K19" s="184" t="n">
        <x:v>0</x:v>
      </x:c>
      <x:c r="L19" s="184" t="n">
        <x:v>0</x:v>
      </x:c>
      <x:c r="M19" s="184" t="n">
        <x:v>0</x:v>
      </x:c>
      <x:c r="N19" s="186" t="n">
        <x:v>35</x:v>
      </x:c>
      <x:c r="O19" s="186" t="n">
        <x:v>30</x:v>
      </x:c>
      <x:c r="P19" s="186" t="n">
        <x:v>35</x:v>
      </x:c>
      <x:c r="Q19" s="186" t="n">
        <x:v>30</x:v>
      </x:c>
      <x:c r="R19" s="186" t="n">
        <x:v>30</x:v>
      </x:c>
      <x:c r="S19" s="186" t="n">
        <x:v>30</x:v>
      </x:c>
      <x:c r="T19" s="186" t="n">
        <x:v>40</x:v>
      </x:c>
      <x:c r="U19" s="186" t="n">
        <x:v>40</x:v>
      </x:c>
      <x:c r="V19" s="186" t="n">
        <x:v>35</x:v>
      </x:c>
      <x:c r="W19" s="186" t="n">
        <x:v>30</x:v>
      </x:c>
      <x:c r="X19" s="186" t="n">
        <x:v>35</x:v>
      </x:c>
      <x:c r="Y19" s="186" t="n">
        <x:v>30</x:v>
      </x:c>
      <x:c r="Z19" s="186" t="n">
        <x:v>40</x:v>
      </x:c>
      <x:c r="AA19" s="186" t="n">
        <x:v>30</x:v>
      </x:c>
      <x:c r="AB19" s="186" t="n">
        <x:v>35</x:v>
      </x:c>
      <x:c r="AC19" s="186" t="n">
        <x:v>35</x:v>
      </x:c>
      <x:c r="AD19" s="186" t="n">
        <x:v>40</x:v>
      </x:c>
      <x:c r="AE19" s="186" t="n">
        <x:v>40</x:v>
      </x:c>
      <x:c r="AF19" s="186" t="n">
        <x:v>40</x:v>
      </x:c>
      <x:c r="AG19" s="186" t="n">
        <x:v>35</x:v>
      </x:c>
      <x:c r="AH19" s="186" t="n">
        <x:v>40</x:v>
      </x:c>
      <x:c r="AI19" s="188" t="n">
        <x:f>SUM(D19:AH19)</x:f>
        <x:v>785</x:v>
      </x:c>
      <x:c r="AJ19" s="196" t="n">
        <x:f>D19*'Daftar Produk &amp; Harga'!$C$4+E19*'Daftar Produk &amp; Harga'!$C$5+F19*'Daftar Produk &amp; Harga'!$C$6+G19*'Daftar Produk &amp; Harga'!$C$7+H19*'Daftar Produk &amp; Harga'!$C$8+I19*'Daftar Produk &amp; Harga'!$C$9+J19*'Daftar Produk &amp; Harga'!$C$10+K19*'Daftar Produk &amp; Harga'!$C$11+L19*'Daftar Produk &amp; Harga'!$C$12+M19*'Daftar Produk &amp; Harga'!$C$13+N19*'Daftar Produk &amp; Harga'!$C$14+O19*'Daftar Produk &amp; Harga'!$C$15+P19*'Daftar Produk &amp; Harga'!$C$16+Q19*'Daftar Produk &amp; Harga'!$C$17+R19*'Daftar Produk &amp; Harga'!$C$18+S19*'Daftar Produk &amp; Harga'!$C$19+T19*'Daftar Produk &amp; Harga'!$C$20+U19*'Daftar Produk &amp; Harga'!$C$21+V19*'Daftar Produk &amp; Harga'!$C$22+W19*'Daftar Produk &amp; Harga'!$C$23+X19*'Daftar Produk &amp; Harga'!$C$24+Y19*'Daftar Produk &amp; Harga'!$C$25+Z19*'Daftar Produk &amp; Harga'!$C$26+AA19*'Daftar Produk &amp; Harga'!$C$27+AB19*'Daftar Produk &amp; Harga'!$C$28+AC19*'Daftar Produk &amp; Harga'!$C$29+AD19*'Daftar Produk &amp; Harga'!$C$30+AE19*'Daftar Produk &amp; Harga'!$C$31+AF19*'Daftar Produk &amp; Harga'!$C$32+AG19*'Daftar Produk &amp; Harga'!$C$33+AH19*'Daftar Produk &amp; Harga'!$C$34</x:f>
        <x:v>24585000</x:v>
      </x:c>
    </x:row>
    <x:row r="20" ht="18" customHeight="1">
      <x:c r="A20" s="178" t="n">
        <x:v>17</x:v>
      </x:c>
      <x:c r="B20" s="179" t="n">
        <x:v>46070</x:v>
      </x:c>
      <x:c r="C20" s="178" t="str">
        <x:v>Selasa</x:v>
      </x:c>
      <x:c r="D20" s="184" t="n">
        <x:v>50</x:v>
      </x:c>
      <x:c r="E20" s="184" t="n">
        <x:v>0</x:v>
      </x:c>
      <x:c r="F20" s="184" t="n">
        <x:v>0</x:v>
      </x:c>
      <x:c r="G20" s="184" t="n">
        <x:v>0</x:v>
      </x:c>
      <x:c r="H20" s="184" t="n">
        <x:v>0</x:v>
      </x:c>
      <x:c r="I20" s="184" t="n">
        <x:v>0</x:v>
      </x:c>
      <x:c r="J20" s="184" t="n">
        <x:v>50</x:v>
      </x:c>
      <x:c r="K20" s="184" t="n">
        <x:v>0</x:v>
      </x:c>
      <x:c r="L20" s="184" t="n">
        <x:v>0</x:v>
      </x:c>
      <x:c r="M20" s="184" t="n">
        <x:v>0</x:v>
      </x:c>
      <x:c r="N20" s="186" t="n">
        <x:v>40</x:v>
      </x:c>
      <x:c r="O20" s="186" t="n">
        <x:v>30</x:v>
      </x:c>
      <x:c r="P20" s="186" t="n">
        <x:v>30</x:v>
      </x:c>
      <x:c r="Q20" s="186" t="n">
        <x:v>30</x:v>
      </x:c>
      <x:c r="R20" s="186" t="n">
        <x:v>40</x:v>
      </x:c>
      <x:c r="S20" s="186" t="n">
        <x:v>30</x:v>
      </x:c>
      <x:c r="T20" s="186" t="n">
        <x:v>40</x:v>
      </x:c>
      <x:c r="U20" s="186" t="n">
        <x:v>35</x:v>
      </x:c>
      <x:c r="V20" s="186" t="n">
        <x:v>40</x:v>
      </x:c>
      <x:c r="W20" s="186" t="n">
        <x:v>35</x:v>
      </x:c>
      <x:c r="X20" s="186" t="n">
        <x:v>30</x:v>
      </x:c>
      <x:c r="Y20" s="186" t="n">
        <x:v>40</x:v>
      </x:c>
      <x:c r="Z20" s="186" t="n">
        <x:v>40</x:v>
      </x:c>
      <x:c r="AA20" s="186" t="n">
        <x:v>35</x:v>
      </x:c>
      <x:c r="AB20" s="186" t="n">
        <x:v>40</x:v>
      </x:c>
      <x:c r="AC20" s="186" t="n">
        <x:v>30</x:v>
      </x:c>
      <x:c r="AD20" s="186" t="n">
        <x:v>35</x:v>
      </x:c>
      <x:c r="AE20" s="186" t="n">
        <x:v>35</x:v>
      </x:c>
      <x:c r="AF20" s="186" t="n">
        <x:v>30</x:v>
      </x:c>
      <x:c r="AG20" s="186" t="n">
        <x:v>40</x:v>
      </x:c>
      <x:c r="AH20" s="186" t="n">
        <x:v>30</x:v>
      </x:c>
      <x:c r="AI20" s="188" t="n">
        <x:f>SUM(D20:AH20)</x:f>
        <x:v>835</x:v>
      </x:c>
      <x:c r="AJ20" s="196" t="n">
        <x:f>D20*'Daftar Produk &amp; Harga'!$C$4+E20*'Daftar Produk &amp; Harga'!$C$5+F20*'Daftar Produk &amp; Harga'!$C$6+G20*'Daftar Produk &amp; Harga'!$C$7+H20*'Daftar Produk &amp; Harga'!$C$8+I20*'Daftar Produk &amp; Harga'!$C$9+J20*'Daftar Produk &amp; Harga'!$C$10+K20*'Daftar Produk &amp; Harga'!$C$11+L20*'Daftar Produk &amp; Harga'!$C$12+M20*'Daftar Produk &amp; Harga'!$C$13+N20*'Daftar Produk &amp; Harga'!$C$14+O20*'Daftar Produk &amp; Harga'!$C$15+P20*'Daftar Produk &amp; Harga'!$C$16+Q20*'Daftar Produk &amp; Harga'!$C$17+R20*'Daftar Produk &amp; Harga'!$C$18+S20*'Daftar Produk &amp; Harga'!$C$19+T20*'Daftar Produk &amp; Harga'!$C$20+U20*'Daftar Produk &amp; Harga'!$C$21+V20*'Daftar Produk &amp; Harga'!$C$22+W20*'Daftar Produk &amp; Harga'!$C$23+X20*'Daftar Produk &amp; Harga'!$C$24+Y20*'Daftar Produk &amp; Harga'!$C$25+Z20*'Daftar Produk &amp; Harga'!$C$26+AA20*'Daftar Produk &amp; Harga'!$C$27+AB20*'Daftar Produk &amp; Harga'!$C$28+AC20*'Daftar Produk &amp; Harga'!$C$29+AD20*'Daftar Produk &amp; Harga'!$C$30+AE20*'Daftar Produk &amp; Harga'!$C$31+AF20*'Daftar Produk &amp; Harga'!$C$32+AG20*'Daftar Produk &amp; Harga'!$C$33+AH20*'Daftar Produk &amp; Harga'!$C$34</x:f>
        <x:v>26595000</x:v>
      </x:c>
    </x:row>
    <x:row r="21" ht="18" customHeight="1">
      <x:c r="A21" s="178" t="n">
        <x:v>18</x:v>
      </x:c>
      <x:c r="B21" s="179" t="n">
        <x:v>46071</x:v>
      </x:c>
      <x:c r="C21" s="178" t="str">
        <x:v>Rabu</x:v>
      </x:c>
      <x:c r="D21" s="184" t="n">
        <x:v>0</x:v>
      </x:c>
      <x:c r="E21" s="184" t="n">
        <x:v>0</x:v>
      </x:c>
      <x:c r="F21" s="184" t="n">
        <x:v>0</x:v>
      </x:c>
      <x:c r="G21" s="184" t="n">
        <x:v>0</x:v>
      </x:c>
      <x:c r="H21" s="184" t="n">
        <x:v>40</x:v>
      </x:c>
      <x:c r="I21" s="184" t="n">
        <x:v>0</x:v>
      </x:c>
      <x:c r="J21" s="184" t="n">
        <x:v>60</x:v>
      </x:c>
      <x:c r="K21" s="184" t="n">
        <x:v>0</x:v>
      </x:c>
      <x:c r="L21" s="184" t="n">
        <x:v>0</x:v>
      </x:c>
      <x:c r="M21" s="184" t="n">
        <x:v>0</x:v>
      </x:c>
      <x:c r="N21" s="186" t="n">
        <x:v>40</x:v>
      </x:c>
      <x:c r="O21" s="186" t="n">
        <x:v>40</x:v>
      </x:c>
      <x:c r="P21" s="186" t="n">
        <x:v>30</x:v>
      </x:c>
      <x:c r="Q21" s="186" t="n">
        <x:v>30</x:v>
      </x:c>
      <x:c r="R21" s="186" t="n">
        <x:v>40</x:v>
      </x:c>
      <x:c r="S21" s="186" t="n">
        <x:v>30</x:v>
      </x:c>
      <x:c r="T21" s="186" t="n">
        <x:v>30</x:v>
      </x:c>
      <x:c r="U21" s="186" t="n">
        <x:v>30</x:v>
      </x:c>
      <x:c r="V21" s="186" t="n">
        <x:v>30</x:v>
      </x:c>
      <x:c r="W21" s="186" t="n">
        <x:v>30</x:v>
      </x:c>
      <x:c r="X21" s="186" t="n">
        <x:v>35</x:v>
      </x:c>
      <x:c r="Y21" s="186" t="n">
        <x:v>30</x:v>
      </x:c>
      <x:c r="Z21" s="186" t="n">
        <x:v>35</x:v>
      </x:c>
      <x:c r="AA21" s="186" t="n">
        <x:v>30</x:v>
      </x:c>
      <x:c r="AB21" s="186" t="n">
        <x:v>40</x:v>
      </x:c>
      <x:c r="AC21" s="186" t="n">
        <x:v>30</x:v>
      </x:c>
      <x:c r="AD21" s="186" t="n">
        <x:v>35</x:v>
      </x:c>
      <x:c r="AE21" s="186" t="n">
        <x:v>35</x:v>
      </x:c>
      <x:c r="AF21" s="186" t="n">
        <x:v>30</x:v>
      </x:c>
      <x:c r="AG21" s="186" t="n">
        <x:v>40</x:v>
      </x:c>
      <x:c r="AH21" s="186" t="n">
        <x:v>40</x:v>
      </x:c>
      <x:c r="AI21" s="188" t="n">
        <x:f>SUM(D21:AH21)</x:f>
        <x:v>810</x:v>
      </x:c>
      <x:c r="AJ21" s="196" t="n">
        <x:f>D21*'Daftar Produk &amp; Harga'!$C$4+E21*'Daftar Produk &amp; Harga'!$C$5+F21*'Daftar Produk &amp; Harga'!$C$6+G21*'Daftar Produk &amp; Harga'!$C$7+H21*'Daftar Produk &amp; Harga'!$C$8+I21*'Daftar Produk &amp; Harga'!$C$9+J21*'Daftar Produk &amp; Harga'!$C$10+K21*'Daftar Produk &amp; Harga'!$C$11+L21*'Daftar Produk &amp; Harga'!$C$12+M21*'Daftar Produk &amp; Harga'!$C$13+N21*'Daftar Produk &amp; Harga'!$C$14+O21*'Daftar Produk &amp; Harga'!$C$15+P21*'Daftar Produk &amp; Harga'!$C$16+Q21*'Daftar Produk &amp; Harga'!$C$17+R21*'Daftar Produk &amp; Harga'!$C$18+S21*'Daftar Produk &amp; Harga'!$C$19+T21*'Daftar Produk &amp; Harga'!$C$20+U21*'Daftar Produk &amp; Harga'!$C$21+V21*'Daftar Produk &amp; Harga'!$C$22+W21*'Daftar Produk &amp; Harga'!$C$23+X21*'Daftar Produk &amp; Harga'!$C$24+Y21*'Daftar Produk &amp; Harga'!$C$25+Z21*'Daftar Produk &amp; Harga'!$C$26+AA21*'Daftar Produk &amp; Harga'!$C$27+AB21*'Daftar Produk &amp; Harga'!$C$28+AC21*'Daftar Produk &amp; Harga'!$C$29+AD21*'Daftar Produk &amp; Harga'!$C$30+AE21*'Daftar Produk &amp; Harga'!$C$31+AF21*'Daftar Produk &amp; Harga'!$C$32+AG21*'Daftar Produk &amp; Harga'!$C$33+AH21*'Daftar Produk &amp; Harga'!$C$34</x:f>
        <x:v>26435000</x:v>
      </x:c>
    </x:row>
    <x:row r="22" ht="18" customHeight="1">
      <x:c r="A22" s="178" t="n">
        <x:v>19</x:v>
      </x:c>
      <x:c r="B22" s="179" t="n">
        <x:v>46072</x:v>
      </x:c>
      <x:c r="C22" s="178" t="str">
        <x:v>Kamis</x:v>
      </x:c>
      <x:c r="D22" s="184" t="n">
        <x:v>0</x:v>
      </x:c>
      <x:c r="E22" s="184" t="n">
        <x:v>0</x:v>
      </x:c>
      <x:c r="F22" s="184" t="n">
        <x:v>0</x:v>
      </x:c>
      <x:c r="G22" s="184" t="n">
        <x:v>0</x:v>
      </x:c>
      <x:c r="H22" s="184" t="n">
        <x:v>40</x:v>
      </x:c>
      <x:c r="I22" s="184" t="n">
        <x:v>0</x:v>
      </x:c>
      <x:c r="J22" s="184" t="n">
        <x:v>0</x:v>
      </x:c>
      <x:c r="K22" s="184" t="n">
        <x:v>0</x:v>
      </x:c>
      <x:c r="L22" s="184" t="n">
        <x:v>40</x:v>
      </x:c>
      <x:c r="M22" s="184" t="n">
        <x:v>50</x:v>
      </x:c>
      <x:c r="N22" s="186" t="n">
        <x:v>30</x:v>
      </x:c>
      <x:c r="O22" s="186" t="n">
        <x:v>40</x:v>
      </x:c>
      <x:c r="P22" s="186" t="n">
        <x:v>30</x:v>
      </x:c>
      <x:c r="Q22" s="186" t="n">
        <x:v>40</x:v>
      </x:c>
      <x:c r="R22" s="186" t="n">
        <x:v>35</x:v>
      </x:c>
      <x:c r="S22" s="186" t="n">
        <x:v>35</x:v>
      </x:c>
      <x:c r="T22" s="186" t="n">
        <x:v>30</x:v>
      </x:c>
      <x:c r="U22" s="186" t="n">
        <x:v>40</x:v>
      </x:c>
      <x:c r="V22" s="186" t="n">
        <x:v>35</x:v>
      </x:c>
      <x:c r="W22" s="186" t="n">
        <x:v>35</x:v>
      </x:c>
      <x:c r="X22" s="186" t="n">
        <x:v>40</x:v>
      </x:c>
      <x:c r="Y22" s="186" t="n">
        <x:v>40</x:v>
      </x:c>
      <x:c r="Z22" s="186" t="n">
        <x:v>40</x:v>
      </x:c>
      <x:c r="AA22" s="186" t="n">
        <x:v>40</x:v>
      </x:c>
      <x:c r="AB22" s="186" t="n">
        <x:v>35</x:v>
      </x:c>
      <x:c r="AC22" s="186" t="n">
        <x:v>30</x:v>
      </x:c>
      <x:c r="AD22" s="186" t="n">
        <x:v>35</x:v>
      </x:c>
      <x:c r="AE22" s="186" t="n">
        <x:v>35</x:v>
      </x:c>
      <x:c r="AF22" s="186" t="n">
        <x:v>35</x:v>
      </x:c>
      <x:c r="AG22" s="186" t="n">
        <x:v>35</x:v>
      </x:c>
      <x:c r="AH22" s="186" t="n">
        <x:v>40</x:v>
      </x:c>
      <x:c r="AI22" s="188" t="n">
        <x:f>SUM(D22:AH22)</x:f>
        <x:v>885</x:v>
      </x:c>
      <x:c r="AJ22" s="196" t="n">
        <x:f>D22*'Daftar Produk &amp; Harga'!$C$4+E22*'Daftar Produk &amp; Harga'!$C$5+F22*'Daftar Produk &amp; Harga'!$C$6+G22*'Daftar Produk &amp; Harga'!$C$7+H22*'Daftar Produk &amp; Harga'!$C$8+I22*'Daftar Produk &amp; Harga'!$C$9+J22*'Daftar Produk &amp; Harga'!$C$10+K22*'Daftar Produk &amp; Harga'!$C$11+L22*'Daftar Produk &amp; Harga'!$C$12+M22*'Daftar Produk &amp; Harga'!$C$13+N22*'Daftar Produk &amp; Harga'!$C$14+O22*'Daftar Produk &amp; Harga'!$C$15+P22*'Daftar Produk &amp; Harga'!$C$16+Q22*'Daftar Produk &amp; Harga'!$C$17+R22*'Daftar Produk &amp; Harga'!$C$18+S22*'Daftar Produk &amp; Harga'!$C$19+T22*'Daftar Produk &amp; Harga'!$C$20+U22*'Daftar Produk &amp; Harga'!$C$21+V22*'Daftar Produk &amp; Harga'!$C$22+W22*'Daftar Produk &amp; Harga'!$C$23+X22*'Daftar Produk &amp; Harga'!$C$24+Y22*'Daftar Produk &amp; Harga'!$C$25+Z22*'Daftar Produk &amp; Harga'!$C$26+AA22*'Daftar Produk &amp; Harga'!$C$27+AB22*'Daftar Produk &amp; Harga'!$C$28+AC22*'Daftar Produk &amp; Harga'!$C$29+AD22*'Daftar Produk &amp; Harga'!$C$30+AE22*'Daftar Produk &amp; Harga'!$C$31+AF22*'Daftar Produk &amp; Harga'!$C$32+AG22*'Daftar Produk &amp; Harga'!$C$33+AH22*'Daftar Produk &amp; Harga'!$C$34</x:f>
        <x:v>29185000</x:v>
      </x:c>
    </x:row>
    <x:row r="23" ht="18" customHeight="1">
      <x:c r="A23" s="178" t="n">
        <x:v>20</x:v>
      </x:c>
      <x:c r="B23" s="179" t="n">
        <x:v>46073</x:v>
      </x:c>
      <x:c r="C23" s="178" t="str">
        <x:v>Jumat</x:v>
      </x:c>
      <x:c r="D23" s="184" t="n">
        <x:v>0</x:v>
      </x:c>
      <x:c r="E23" s="184" t="n">
        <x:v>40</x:v>
      </x:c>
      <x:c r="F23" s="184" t="n">
        <x:v>0</x:v>
      </x:c>
      <x:c r="G23" s="184" t="n">
        <x:v>0</x:v>
      </x:c>
      <x:c r="H23" s="184" t="n">
        <x:v>40</x:v>
      </x:c>
      <x:c r="I23" s="184" t="n">
        <x:v>0</x:v>
      </x:c>
      <x:c r="J23" s="184" t="n">
        <x:v>0</x:v>
      </x:c>
      <x:c r="K23" s="184" t="n">
        <x:v>0</x:v>
      </x:c>
      <x:c r="L23" s="184" t="n">
        <x:v>50</x:v>
      </x:c>
      <x:c r="M23" s="184" t="n">
        <x:v>50</x:v>
      </x:c>
      <x:c r="N23" s="186" t="n">
        <x:v>35</x:v>
      </x:c>
      <x:c r="O23" s="186" t="n">
        <x:v>40</x:v>
      </x:c>
      <x:c r="P23" s="186" t="n">
        <x:v>30</x:v>
      </x:c>
      <x:c r="Q23" s="186" t="n">
        <x:v>40</x:v>
      </x:c>
      <x:c r="R23" s="186" t="n">
        <x:v>35</x:v>
      </x:c>
      <x:c r="S23" s="186" t="n">
        <x:v>40</x:v>
      </x:c>
      <x:c r="T23" s="186" t="n">
        <x:v>35</x:v>
      </x:c>
      <x:c r="U23" s="186" t="n">
        <x:v>40</x:v>
      </x:c>
      <x:c r="V23" s="186" t="n">
        <x:v>40</x:v>
      </x:c>
      <x:c r="W23" s="186" t="n">
        <x:v>30</x:v>
      </x:c>
      <x:c r="X23" s="186" t="n">
        <x:v>35</x:v>
      </x:c>
      <x:c r="Y23" s="186" t="n">
        <x:v>30</x:v>
      </x:c>
      <x:c r="Z23" s="186" t="n">
        <x:v>35</x:v>
      </x:c>
      <x:c r="AA23" s="186" t="n">
        <x:v>35</x:v>
      </x:c>
      <x:c r="AB23" s="186" t="n">
        <x:v>35</x:v>
      </x:c>
      <x:c r="AC23" s="186" t="n">
        <x:v>30</x:v>
      </x:c>
      <x:c r="AD23" s="186" t="n">
        <x:v>30</x:v>
      </x:c>
      <x:c r="AE23" s="186" t="n">
        <x:v>40</x:v>
      </x:c>
      <x:c r="AF23" s="186" t="n">
        <x:v>40</x:v>
      </x:c>
      <x:c r="AG23" s="186" t="n">
        <x:v>35</x:v>
      </x:c>
      <x:c r="AH23" s="186" t="n">
        <x:v>30</x:v>
      </x:c>
      <x:c r="AI23" s="188" t="n">
        <x:f>SUM(D23:AH23)</x:f>
        <x:v>920</x:v>
      </x:c>
      <x:c r="AJ23" s="196" t="n">
        <x:f>D23*'Daftar Produk &amp; Harga'!$C$4+E23*'Daftar Produk &amp; Harga'!$C$5+F23*'Daftar Produk &amp; Harga'!$C$6+G23*'Daftar Produk &amp; Harga'!$C$7+H23*'Daftar Produk &amp; Harga'!$C$8+I23*'Daftar Produk &amp; Harga'!$C$9+J23*'Daftar Produk &amp; Harga'!$C$10+K23*'Daftar Produk &amp; Harga'!$C$11+L23*'Daftar Produk &amp; Harga'!$C$12+M23*'Daftar Produk &amp; Harga'!$C$13+N23*'Daftar Produk &amp; Harga'!$C$14+O23*'Daftar Produk &amp; Harga'!$C$15+P23*'Daftar Produk &amp; Harga'!$C$16+Q23*'Daftar Produk &amp; Harga'!$C$17+R23*'Daftar Produk &amp; Harga'!$C$18+S23*'Daftar Produk &amp; Harga'!$C$19+T23*'Daftar Produk &amp; Harga'!$C$20+U23*'Daftar Produk &amp; Harga'!$C$21+V23*'Daftar Produk &amp; Harga'!$C$22+W23*'Daftar Produk &amp; Harga'!$C$23+X23*'Daftar Produk &amp; Harga'!$C$24+Y23*'Daftar Produk &amp; Harga'!$C$25+Z23*'Daftar Produk &amp; Harga'!$C$26+AA23*'Daftar Produk &amp; Harga'!$C$27+AB23*'Daftar Produk &amp; Harga'!$C$28+AC23*'Daftar Produk &amp; Harga'!$C$29+AD23*'Daftar Produk &amp; Harga'!$C$30+AE23*'Daftar Produk &amp; Harga'!$C$31+AF23*'Daftar Produk &amp; Harga'!$C$32+AG23*'Daftar Produk &amp; Harga'!$C$33+AH23*'Daftar Produk &amp; Harga'!$C$34</x:f>
        <x:v>30475000</x:v>
      </x:c>
    </x:row>
    <x:row r="24" ht="18" customHeight="1">
      <x:c r="A24" s="178" t="n">
        <x:v>21</x:v>
      </x:c>
      <x:c r="B24" s="179" t="n">
        <x:v>46074</x:v>
      </x:c>
      <x:c r="C24" s="178" t="str">
        <x:v>Sabtu</x:v>
      </x:c>
      <x:c r="D24" s="184" t="n">
        <x:v>0</x:v>
      </x:c>
      <x:c r="E24" s="184" t="n">
        <x:v>40</x:v>
      </x:c>
      <x:c r="F24" s="184" t="n">
        <x:v>0</x:v>
      </x:c>
      <x:c r="G24" s="184" t="n">
        <x:v>0</x:v>
      </x:c>
      <x:c r="H24" s="184" t="n">
        <x:v>0</x:v>
      </x:c>
      <x:c r="I24" s="184" t="n">
        <x:v>0</x:v>
      </x:c>
      <x:c r="J24" s="184" t="n">
        <x:v>0</x:v>
      </x:c>
      <x:c r="K24" s="184" t="n">
        <x:v>0</x:v>
      </x:c>
      <x:c r="L24" s="184" t="n">
        <x:v>0</x:v>
      </x:c>
      <x:c r="M24" s="184" t="n">
        <x:v>50</x:v>
      </x:c>
      <x:c r="N24" s="186" t="n">
        <x:v>35</x:v>
      </x:c>
      <x:c r="O24" s="186" t="n">
        <x:v>45</x:v>
      </x:c>
      <x:c r="P24" s="186" t="n">
        <x:v>45</x:v>
      </x:c>
      <x:c r="Q24" s="186" t="n">
        <x:v>50</x:v>
      </x:c>
      <x:c r="R24" s="186" t="n">
        <x:v>45</x:v>
      </x:c>
      <x:c r="S24" s="186" t="n">
        <x:v>50</x:v>
      </x:c>
      <x:c r="T24" s="186" t="n">
        <x:v>40</x:v>
      </x:c>
      <x:c r="U24" s="186" t="n">
        <x:v>35</x:v>
      </x:c>
      <x:c r="V24" s="186" t="n">
        <x:v>40</x:v>
      </x:c>
      <x:c r="W24" s="186" t="n">
        <x:v>50</x:v>
      </x:c>
      <x:c r="X24" s="186" t="n">
        <x:v>40</x:v>
      </x:c>
      <x:c r="Y24" s="186" t="n">
        <x:v>45</x:v>
      </x:c>
      <x:c r="Z24" s="186" t="n">
        <x:v>50</x:v>
      </x:c>
      <x:c r="AA24" s="186" t="n">
        <x:v>40</x:v>
      </x:c>
      <x:c r="AB24" s="186" t="n">
        <x:v>50</x:v>
      </x:c>
      <x:c r="AC24" s="186" t="n">
        <x:v>45</x:v>
      </x:c>
      <x:c r="AD24" s="186" t="n">
        <x:v>40</x:v>
      </x:c>
      <x:c r="AE24" s="186" t="n">
        <x:v>40</x:v>
      </x:c>
      <x:c r="AF24" s="186" t="n">
        <x:v>35</x:v>
      </x:c>
      <x:c r="AG24" s="186" t="n">
        <x:v>50</x:v>
      </x:c>
      <x:c r="AH24" s="186" t="n">
        <x:v>40</x:v>
      </x:c>
      <x:c r="AI24" s="188" t="n">
        <x:f>SUM(D24:AH24)</x:f>
        <x:v>1000</x:v>
      </x:c>
      <x:c r="AJ24" s="196" t="n">
        <x:f>D24*'Daftar Produk &amp; Harga'!$C$4+E24*'Daftar Produk &amp; Harga'!$C$5+F24*'Daftar Produk &amp; Harga'!$C$6+G24*'Daftar Produk &amp; Harga'!$C$7+H24*'Daftar Produk &amp; Harga'!$C$8+I24*'Daftar Produk &amp; Harga'!$C$9+J24*'Daftar Produk &amp; Harga'!$C$10+K24*'Daftar Produk &amp; Harga'!$C$11+L24*'Daftar Produk &amp; Harga'!$C$12+M24*'Daftar Produk &amp; Harga'!$C$13+N24*'Daftar Produk &amp; Harga'!$C$14+O24*'Daftar Produk &amp; Harga'!$C$15+P24*'Daftar Produk &amp; Harga'!$C$16+Q24*'Daftar Produk &amp; Harga'!$C$17+R24*'Daftar Produk &amp; Harga'!$C$18+S24*'Daftar Produk &amp; Harga'!$C$19+T24*'Daftar Produk &amp; Harga'!$C$20+U24*'Daftar Produk &amp; Harga'!$C$21+V24*'Daftar Produk &amp; Harga'!$C$22+W24*'Daftar Produk &amp; Harga'!$C$23+X24*'Daftar Produk &amp; Harga'!$C$24+Y24*'Daftar Produk &amp; Harga'!$C$25+Z24*'Daftar Produk &amp; Harga'!$C$26+AA24*'Daftar Produk &amp; Harga'!$C$27+AB24*'Daftar Produk &amp; Harga'!$C$28+AC24*'Daftar Produk &amp; Harga'!$C$29+AD24*'Daftar Produk &amp; Harga'!$C$30+AE24*'Daftar Produk &amp; Harga'!$C$31+AF24*'Daftar Produk &amp; Harga'!$C$32+AG24*'Daftar Produk &amp; Harga'!$C$33+AH24*'Daftar Produk &amp; Harga'!$C$34</x:f>
        <x:v>32645000</x:v>
      </x:c>
    </x:row>
    <x:row r="25" ht="18" customHeight="1">
      <x:c r="A25" s="178" t="n">
        <x:v>22</x:v>
      </x:c>
      <x:c r="B25" s="179" t="n">
        <x:v>46075</x:v>
      </x:c>
      <x:c r="C25" s="178" t="str">
        <x:v>Minggu</x:v>
      </x:c>
      <x:c r="D25" s="184" t="n">
        <x:v>0</x:v>
      </x:c>
      <x:c r="E25" s="184" t="n">
        <x:v>40</x:v>
      </x:c>
      <x:c r="F25" s="184" t="n">
        <x:v>0</x:v>
      </x:c>
      <x:c r="G25" s="184" t="n">
        <x:v>40</x:v>
      </x:c>
      <x:c r="H25" s="184" t="n">
        <x:v>0</x:v>
      </x:c>
      <x:c r="I25" s="184" t="n">
        <x:v>0</x:v>
      </x:c>
      <x:c r="J25" s="184" t="n">
        <x:v>0</x:v>
      </x:c>
      <x:c r="K25" s="184" t="n">
        <x:v>0</x:v>
      </x:c>
      <x:c r="L25" s="184" t="n">
        <x:v>0</x:v>
      </x:c>
      <x:c r="M25" s="184" t="n">
        <x:v>50</x:v>
      </x:c>
      <x:c r="N25" s="186" t="n">
        <x:v>50</x:v>
      </x:c>
      <x:c r="O25" s="186" t="n">
        <x:v>50</x:v>
      </x:c>
      <x:c r="P25" s="186" t="n">
        <x:v>45</x:v>
      </x:c>
      <x:c r="Q25" s="186" t="n">
        <x:v>50</x:v>
      </x:c>
      <x:c r="R25" s="186" t="n">
        <x:v>40</x:v>
      </x:c>
      <x:c r="S25" s="186" t="n">
        <x:v>40</x:v>
      </x:c>
      <x:c r="T25" s="186" t="n">
        <x:v>40</x:v>
      </x:c>
      <x:c r="U25" s="186" t="n">
        <x:v>45</x:v>
      </x:c>
      <x:c r="V25" s="186" t="n">
        <x:v>40</x:v>
      </x:c>
      <x:c r="W25" s="186" t="n">
        <x:v>40</x:v>
      </x:c>
      <x:c r="X25" s="186" t="n">
        <x:v>50</x:v>
      </x:c>
      <x:c r="Y25" s="186" t="n">
        <x:v>35</x:v>
      </x:c>
      <x:c r="Z25" s="186" t="n">
        <x:v>35</x:v>
      </x:c>
      <x:c r="AA25" s="186" t="n">
        <x:v>50</x:v>
      </x:c>
      <x:c r="AB25" s="186" t="n">
        <x:v>35</x:v>
      </x:c>
      <x:c r="AC25" s="186" t="n">
        <x:v>40</x:v>
      </x:c>
      <x:c r="AD25" s="186" t="n">
        <x:v>35</x:v>
      </x:c>
      <x:c r="AE25" s="186" t="n">
        <x:v>45</x:v>
      </x:c>
      <x:c r="AF25" s="186" t="n">
        <x:v>45</x:v>
      </x:c>
      <x:c r="AG25" s="186" t="n">
        <x:v>35</x:v>
      </x:c>
      <x:c r="AH25" s="186" t="n">
        <x:v>40</x:v>
      </x:c>
      <x:c r="AI25" s="188" t="n">
        <x:f>SUM(D25:AH25)</x:f>
        <x:v>1015</x:v>
      </x:c>
      <x:c r="AJ25" s="196" t="n">
        <x:f>D25*'Daftar Produk &amp; Harga'!$C$4+E25*'Daftar Produk &amp; Harga'!$C$5+F25*'Daftar Produk &amp; Harga'!$C$6+G25*'Daftar Produk &amp; Harga'!$C$7+H25*'Daftar Produk &amp; Harga'!$C$8+I25*'Daftar Produk &amp; Harga'!$C$9+J25*'Daftar Produk &amp; Harga'!$C$10+K25*'Daftar Produk &amp; Harga'!$C$11+L25*'Daftar Produk &amp; Harga'!$C$12+M25*'Daftar Produk &amp; Harga'!$C$13+N25*'Daftar Produk &amp; Harga'!$C$14+O25*'Daftar Produk &amp; Harga'!$C$15+P25*'Daftar Produk &amp; Harga'!$C$16+Q25*'Daftar Produk &amp; Harga'!$C$17+R25*'Daftar Produk &amp; Harga'!$C$18+S25*'Daftar Produk &amp; Harga'!$C$19+T25*'Daftar Produk &amp; Harga'!$C$20+U25*'Daftar Produk &amp; Harga'!$C$21+V25*'Daftar Produk &amp; Harga'!$C$22+W25*'Daftar Produk &amp; Harga'!$C$23+X25*'Daftar Produk &amp; Harga'!$C$24+Y25*'Daftar Produk &amp; Harga'!$C$25+Z25*'Daftar Produk &amp; Harga'!$C$26+AA25*'Daftar Produk &amp; Harga'!$C$27+AB25*'Daftar Produk &amp; Harga'!$C$28+AC25*'Daftar Produk &amp; Harga'!$C$29+AD25*'Daftar Produk &amp; Harga'!$C$30+AE25*'Daftar Produk &amp; Harga'!$C$31+AF25*'Daftar Produk &amp; Harga'!$C$32+AG25*'Daftar Produk &amp; Harga'!$C$33+AH25*'Daftar Produk &amp; Harga'!$C$34</x:f>
        <x:v>33485000</x:v>
      </x:c>
    </x:row>
    <x:row r="26" ht="18" customHeight="1">
      <x:c r="A26" s="178" t="n">
        <x:v>23</x:v>
      </x:c>
      <x:c r="B26" s="179" t="n">
        <x:v>46076</x:v>
      </x:c>
      <x:c r="C26" s="178" t="str">
        <x:v>Senin</x:v>
      </x:c>
      <x:c r="D26" s="184" t="n">
        <x:v>0</x:v>
      </x:c>
      <x:c r="E26" s="184" t="n">
        <x:v>0</x:v>
      </x:c>
      <x:c r="F26" s="184" t="n">
        <x:v>0</x:v>
      </x:c>
      <x:c r="G26" s="184" t="n">
        <x:v>40</x:v>
      </x:c>
      <x:c r="H26" s="184" t="n">
        <x:v>0</x:v>
      </x:c>
      <x:c r="I26" s="184" t="n">
        <x:v>0</x:v>
      </x:c>
      <x:c r="J26" s="184" t="n">
        <x:v>0</x:v>
      </x:c>
      <x:c r="K26" s="184" t="n">
        <x:v>0</x:v>
      </x:c>
      <x:c r="L26" s="184" t="n">
        <x:v>0</x:v>
      </x:c>
      <x:c r="M26" s="184" t="n">
        <x:v>50</x:v>
      </x:c>
      <x:c r="N26" s="186" t="n">
        <x:v>40</x:v>
      </x:c>
      <x:c r="O26" s="186" t="n">
        <x:v>40</x:v>
      </x:c>
      <x:c r="P26" s="186" t="n">
        <x:v>35</x:v>
      </x:c>
      <x:c r="Q26" s="186" t="n">
        <x:v>30</x:v>
      </x:c>
      <x:c r="R26" s="186" t="n">
        <x:v>35</x:v>
      </x:c>
      <x:c r="S26" s="186" t="n">
        <x:v>35</x:v>
      </x:c>
      <x:c r="T26" s="186" t="n">
        <x:v>40</x:v>
      </x:c>
      <x:c r="U26" s="186" t="n">
        <x:v>40</x:v>
      </x:c>
      <x:c r="V26" s="186" t="n">
        <x:v>30</x:v>
      </x:c>
      <x:c r="W26" s="186" t="n">
        <x:v>35</x:v>
      </x:c>
      <x:c r="X26" s="186" t="n">
        <x:v>30</x:v>
      </x:c>
      <x:c r="Y26" s="186" t="n">
        <x:v>40</x:v>
      </x:c>
      <x:c r="Z26" s="186" t="n">
        <x:v>40</x:v>
      </x:c>
      <x:c r="AA26" s="186" t="n">
        <x:v>35</x:v>
      </x:c>
      <x:c r="AB26" s="186" t="n">
        <x:v>30</x:v>
      </x:c>
      <x:c r="AC26" s="186" t="n">
        <x:v>35</x:v>
      </x:c>
      <x:c r="AD26" s="186" t="n">
        <x:v>35</x:v>
      </x:c>
      <x:c r="AE26" s="186" t="n">
        <x:v>30</x:v>
      </x:c>
      <x:c r="AF26" s="186" t="n">
        <x:v>35</x:v>
      </x:c>
      <x:c r="AG26" s="186" t="n">
        <x:v>40</x:v>
      </x:c>
      <x:c r="AH26" s="186" t="n">
        <x:v>30</x:v>
      </x:c>
      <x:c r="AI26" s="188" t="n">
        <x:f>SUM(D26:AH26)</x:f>
        <x:v>830</x:v>
      </x:c>
      <x:c r="AJ26" s="196" t="n">
        <x:f>D26*'Daftar Produk &amp; Harga'!$C$4+E26*'Daftar Produk &amp; Harga'!$C$5+F26*'Daftar Produk &amp; Harga'!$C$6+G26*'Daftar Produk &amp; Harga'!$C$7+H26*'Daftar Produk &amp; Harga'!$C$8+I26*'Daftar Produk &amp; Harga'!$C$9+J26*'Daftar Produk &amp; Harga'!$C$10+K26*'Daftar Produk &amp; Harga'!$C$11+L26*'Daftar Produk &amp; Harga'!$C$12+M26*'Daftar Produk &amp; Harga'!$C$13+N26*'Daftar Produk &amp; Harga'!$C$14+O26*'Daftar Produk &amp; Harga'!$C$15+P26*'Daftar Produk &amp; Harga'!$C$16+Q26*'Daftar Produk &amp; Harga'!$C$17+R26*'Daftar Produk &amp; Harga'!$C$18+S26*'Daftar Produk &amp; Harga'!$C$19+T26*'Daftar Produk &amp; Harga'!$C$20+U26*'Daftar Produk &amp; Harga'!$C$21+V26*'Daftar Produk &amp; Harga'!$C$22+W26*'Daftar Produk &amp; Harga'!$C$23+X26*'Daftar Produk &amp; Harga'!$C$24+Y26*'Daftar Produk &amp; Harga'!$C$25+Z26*'Daftar Produk &amp; Harga'!$C$26+AA26*'Daftar Produk &amp; Harga'!$C$27+AB26*'Daftar Produk &amp; Harga'!$C$28+AC26*'Daftar Produk &amp; Harga'!$C$29+AD26*'Daftar Produk &amp; Harga'!$C$30+AE26*'Daftar Produk &amp; Harga'!$C$31+AF26*'Daftar Produk &amp; Harga'!$C$32+AG26*'Daftar Produk &amp; Harga'!$C$33+AH26*'Daftar Produk &amp; Harga'!$C$34</x:f>
        <x:v>27770000</x:v>
      </x:c>
    </x:row>
    <x:row r="27" ht="18" customHeight="1">
      <x:c r="A27" s="178" t="n">
        <x:v>24</x:v>
      </x:c>
      <x:c r="B27" s="179" t="n">
        <x:v>46077</x:v>
      </x:c>
      <x:c r="C27" s="178" t="str">
        <x:v>Selasa</x:v>
      </x:c>
      <x:c r="D27" s="184" t="n">
        <x:v>0</x:v>
      </x:c>
      <x:c r="E27" s="184" t="n">
        <x:v>0</x:v>
      </x:c>
      <x:c r="F27" s="184" t="n">
        <x:v>0</x:v>
      </x:c>
      <x:c r="G27" s="184" t="n">
        <x:v>0</x:v>
      </x:c>
      <x:c r="H27" s="184" t="n">
        <x:v>0</x:v>
      </x:c>
      <x:c r="I27" s="184" t="n">
        <x:v>40</x:v>
      </x:c>
      <x:c r="J27" s="184" t="n">
        <x:v>0</x:v>
      </x:c>
      <x:c r="K27" s="184" t="n">
        <x:v>0</x:v>
      </x:c>
      <x:c r="L27" s="184" t="n">
        <x:v>0</x:v>
      </x:c>
      <x:c r="M27" s="184" t="n">
        <x:v>50</x:v>
      </x:c>
      <x:c r="N27" s="186" t="n">
        <x:v>40</x:v>
      </x:c>
      <x:c r="O27" s="186" t="n">
        <x:v>30</x:v>
      </x:c>
      <x:c r="P27" s="186" t="n">
        <x:v>40</x:v>
      </x:c>
      <x:c r="Q27" s="186" t="n">
        <x:v>30</x:v>
      </x:c>
      <x:c r="R27" s="186" t="n">
        <x:v>40</x:v>
      </x:c>
      <x:c r="S27" s="186" t="n">
        <x:v>35</x:v>
      </x:c>
      <x:c r="T27" s="186" t="n">
        <x:v>40</x:v>
      </x:c>
      <x:c r="U27" s="186" t="n">
        <x:v>40</x:v>
      </x:c>
      <x:c r="V27" s="186" t="n">
        <x:v>35</x:v>
      </x:c>
      <x:c r="W27" s="186" t="n">
        <x:v>35</x:v>
      </x:c>
      <x:c r="X27" s="186" t="n">
        <x:v>40</x:v>
      </x:c>
      <x:c r="Y27" s="186" t="n">
        <x:v>40</x:v>
      </x:c>
      <x:c r="Z27" s="186" t="n">
        <x:v>35</x:v>
      </x:c>
      <x:c r="AA27" s="186" t="n">
        <x:v>30</x:v>
      </x:c>
      <x:c r="AB27" s="186" t="n">
        <x:v>40</x:v>
      </x:c>
      <x:c r="AC27" s="186" t="n">
        <x:v>35</x:v>
      </x:c>
      <x:c r="AD27" s="186" t="n">
        <x:v>40</x:v>
      </x:c>
      <x:c r="AE27" s="186" t="n">
        <x:v>40</x:v>
      </x:c>
      <x:c r="AF27" s="186" t="n">
        <x:v>35</x:v>
      </x:c>
      <x:c r="AG27" s="186" t="n">
        <x:v>40</x:v>
      </x:c>
      <x:c r="AH27" s="186" t="n">
        <x:v>30</x:v>
      </x:c>
      <x:c r="AI27" s="188" t="n">
        <x:f>SUM(D27:AH27)</x:f>
        <x:v>860</x:v>
      </x:c>
      <x:c r="AJ27" s="196" t="n">
        <x:f>D27*'Daftar Produk &amp; Harga'!$C$4+E27*'Daftar Produk &amp; Harga'!$C$5+F27*'Daftar Produk &amp; Harga'!$C$6+G27*'Daftar Produk &amp; Harga'!$C$7+H27*'Daftar Produk &amp; Harga'!$C$8+I27*'Daftar Produk &amp; Harga'!$C$9+J27*'Daftar Produk &amp; Harga'!$C$10+K27*'Daftar Produk &amp; Harga'!$C$11+L27*'Daftar Produk &amp; Harga'!$C$12+M27*'Daftar Produk &amp; Harga'!$C$13+N27*'Daftar Produk &amp; Harga'!$C$14+O27*'Daftar Produk &amp; Harga'!$C$15+P27*'Daftar Produk &amp; Harga'!$C$16+Q27*'Daftar Produk &amp; Harga'!$C$17+R27*'Daftar Produk &amp; Harga'!$C$18+S27*'Daftar Produk &amp; Harga'!$C$19+T27*'Daftar Produk &amp; Harga'!$C$20+U27*'Daftar Produk &amp; Harga'!$C$21+V27*'Daftar Produk &amp; Harga'!$C$22+W27*'Daftar Produk &amp; Harga'!$C$23+X27*'Daftar Produk &amp; Harga'!$C$24+Y27*'Daftar Produk &amp; Harga'!$C$25+Z27*'Daftar Produk &amp; Harga'!$C$26+AA27*'Daftar Produk &amp; Harga'!$C$27+AB27*'Daftar Produk &amp; Harga'!$C$28+AC27*'Daftar Produk &amp; Harga'!$C$29+AD27*'Daftar Produk &amp; Harga'!$C$30+AE27*'Daftar Produk &amp; Harga'!$C$31+AF27*'Daftar Produk &amp; Harga'!$C$32+AG27*'Daftar Produk &amp; Harga'!$C$33+AH27*'Daftar Produk &amp; Harga'!$C$34</x:f>
        <x:v>27705000</x:v>
      </x:c>
    </x:row>
    <x:row r="28" ht="18" customHeight="1">
      <x:c r="A28" s="178" t="n">
        <x:v>25</x:v>
      </x:c>
      <x:c r="B28" s="179" t="n">
        <x:v>46078</x:v>
      </x:c>
      <x:c r="C28" s="178" t="str">
        <x:v>Rabu</x:v>
      </x:c>
      <x:c r="D28" s="184" t="n">
        <x:v>0</x:v>
      </x:c>
      <x:c r="E28" s="184" t="n">
        <x:v>0</x:v>
      </x:c>
      <x:c r="F28" s="184" t="n">
        <x:v>0</x:v>
      </x:c>
      <x:c r="G28" s="184" t="n">
        <x:v>0</x:v>
      </x:c>
      <x:c r="H28" s="184" t="n">
        <x:v>0</x:v>
      </x:c>
      <x:c r="I28" s="184" t="n">
        <x:v>40</x:v>
      </x:c>
      <x:c r="J28" s="184" t="n">
        <x:v>0</x:v>
      </x:c>
      <x:c r="K28" s="184" t="n">
        <x:v>50</x:v>
      </x:c>
      <x:c r="L28" s="184" t="n">
        <x:v>0</x:v>
      </x:c>
      <x:c r="M28" s="184" t="n">
        <x:v>0</x:v>
      </x:c>
      <x:c r="N28" s="186" t="n">
        <x:v>40</x:v>
      </x:c>
      <x:c r="O28" s="186" t="n">
        <x:v>35</x:v>
      </x:c>
      <x:c r="P28" s="186" t="n">
        <x:v>40</x:v>
      </x:c>
      <x:c r="Q28" s="186" t="n">
        <x:v>30</x:v>
      </x:c>
      <x:c r="R28" s="186" t="n">
        <x:v>40</x:v>
      </x:c>
      <x:c r="S28" s="186" t="n">
        <x:v>40</x:v>
      </x:c>
      <x:c r="T28" s="186" t="n">
        <x:v>40</x:v>
      </x:c>
      <x:c r="U28" s="186" t="n">
        <x:v>30</x:v>
      </x:c>
      <x:c r="V28" s="186" t="n">
        <x:v>40</x:v>
      </x:c>
      <x:c r="W28" s="186" t="n">
        <x:v>40</x:v>
      </x:c>
      <x:c r="X28" s="186" t="n">
        <x:v>35</x:v>
      </x:c>
      <x:c r="Y28" s="186" t="n">
        <x:v>35</x:v>
      </x:c>
      <x:c r="Z28" s="186" t="n">
        <x:v>40</x:v>
      </x:c>
      <x:c r="AA28" s="186" t="n">
        <x:v>40</x:v>
      </x:c>
      <x:c r="AB28" s="186" t="n">
        <x:v>35</x:v>
      </x:c>
      <x:c r="AC28" s="186" t="n">
        <x:v>40</x:v>
      </x:c>
      <x:c r="AD28" s="186" t="n">
        <x:v>35</x:v>
      </x:c>
      <x:c r="AE28" s="186" t="n">
        <x:v>30</x:v>
      </x:c>
      <x:c r="AF28" s="186" t="n">
        <x:v>35</x:v>
      </x:c>
      <x:c r="AG28" s="186" t="n">
        <x:v>30</x:v>
      </x:c>
      <x:c r="AH28" s="186" t="n">
        <x:v>40</x:v>
      </x:c>
      <x:c r="AI28" s="188" t="n">
        <x:f>SUM(D28:AH28)</x:f>
        <x:v>860</x:v>
      </x:c>
      <x:c r="AJ28" s="196" t="n">
        <x:f>D28*'Daftar Produk &amp; Harga'!$C$4+E28*'Daftar Produk &amp; Harga'!$C$5+F28*'Daftar Produk &amp; Harga'!$C$6+G28*'Daftar Produk &amp; Harga'!$C$7+H28*'Daftar Produk &amp; Harga'!$C$8+I28*'Daftar Produk &amp; Harga'!$C$9+J28*'Daftar Produk &amp; Harga'!$C$10+K28*'Daftar Produk &amp; Harga'!$C$11+L28*'Daftar Produk &amp; Harga'!$C$12+M28*'Daftar Produk &amp; Harga'!$C$13+N28*'Daftar Produk &amp; Harga'!$C$14+O28*'Daftar Produk &amp; Harga'!$C$15+P28*'Daftar Produk &amp; Harga'!$C$16+Q28*'Daftar Produk &amp; Harga'!$C$17+R28*'Daftar Produk &amp; Harga'!$C$18+S28*'Daftar Produk &amp; Harga'!$C$19+T28*'Daftar Produk &amp; Harga'!$C$20+U28*'Daftar Produk &amp; Harga'!$C$21+V28*'Daftar Produk &amp; Harga'!$C$22+W28*'Daftar Produk &amp; Harga'!$C$23+X28*'Daftar Produk &amp; Harga'!$C$24+Y28*'Daftar Produk &amp; Harga'!$C$25+Z28*'Daftar Produk &amp; Harga'!$C$26+AA28*'Daftar Produk &amp; Harga'!$C$27+AB28*'Daftar Produk &amp; Harga'!$C$28+AC28*'Daftar Produk &amp; Harga'!$C$29+AD28*'Daftar Produk &amp; Harga'!$C$30+AE28*'Daftar Produk &amp; Harga'!$C$31+AF28*'Daftar Produk &amp; Harga'!$C$32+AG28*'Daftar Produk &amp; Harga'!$C$33+AH28*'Daftar Produk &amp; Harga'!$C$34</x:f>
        <x:v>29670000</x:v>
      </x:c>
    </x:row>
    <x:row r="29" ht="18" customHeight="1">
      <x:c r="A29" s="178" t="n">
        <x:v>26</x:v>
      </x:c>
      <x:c r="B29" s="179" t="n">
        <x:v>46079</x:v>
      </x:c>
      <x:c r="C29" s="178" t="str">
        <x:v>Kamis</x:v>
      </x:c>
      <x:c r="D29" s="184" t="n">
        <x:v>0</x:v>
      </x:c>
      <x:c r="E29" s="184" t="n">
        <x:v>0</x:v>
      </x:c>
      <x:c r="F29" s="184" t="n">
        <x:v>50</x:v>
      </x:c>
      <x:c r="G29" s="184" t="n">
        <x:v>0</x:v>
      </x:c>
      <x:c r="H29" s="184" t="n">
        <x:v>0</x:v>
      </x:c>
      <x:c r="I29" s="184" t="n">
        <x:v>40</x:v>
      </x:c>
      <x:c r="J29" s="184" t="n">
        <x:v>0</x:v>
      </x:c>
      <x:c r="K29" s="184" t="n">
        <x:v>50</x:v>
      </x:c>
      <x:c r="L29" s="184" t="n">
        <x:v>0</x:v>
      </x:c>
      <x:c r="M29" s="184" t="n">
        <x:v>0</x:v>
      </x:c>
      <x:c r="N29" s="186" t="n">
        <x:v>40</x:v>
      </x:c>
      <x:c r="O29" s="186" t="n">
        <x:v>30</x:v>
      </x:c>
      <x:c r="P29" s="186" t="n">
        <x:v>30</x:v>
      </x:c>
      <x:c r="Q29" s="186" t="n">
        <x:v>30</x:v>
      </x:c>
      <x:c r="R29" s="186" t="n">
        <x:v>35</x:v>
      </x:c>
      <x:c r="S29" s="186" t="n">
        <x:v>30</x:v>
      </x:c>
      <x:c r="T29" s="186" t="n">
        <x:v>35</x:v>
      </x:c>
      <x:c r="U29" s="186" t="n">
        <x:v>30</x:v>
      </x:c>
      <x:c r="V29" s="186" t="n">
        <x:v>30</x:v>
      </x:c>
      <x:c r="W29" s="186" t="n">
        <x:v>40</x:v>
      </x:c>
      <x:c r="X29" s="186" t="n">
        <x:v>35</x:v>
      </x:c>
      <x:c r="Y29" s="186" t="n">
        <x:v>35</x:v>
      </x:c>
      <x:c r="Z29" s="186" t="n">
        <x:v>35</x:v>
      </x:c>
      <x:c r="AA29" s="186" t="n">
        <x:v>40</x:v>
      </x:c>
      <x:c r="AB29" s="186" t="n">
        <x:v>30</x:v>
      </x:c>
      <x:c r="AC29" s="186" t="n">
        <x:v>40</x:v>
      </x:c>
      <x:c r="AD29" s="186" t="n">
        <x:v>40</x:v>
      </x:c>
      <x:c r="AE29" s="186" t="n">
        <x:v>30</x:v>
      </x:c>
      <x:c r="AF29" s="186" t="n">
        <x:v>35</x:v>
      </x:c>
      <x:c r="AG29" s="186" t="n">
        <x:v>40</x:v>
      </x:c>
      <x:c r="AH29" s="186" t="n">
        <x:v>35</x:v>
      </x:c>
      <x:c r="AI29" s="188" t="n">
        <x:f>SUM(D29:AH29)</x:f>
        <x:v>865</x:v>
      </x:c>
      <x:c r="AJ29" s="196" t="n">
        <x:f>D29*'Daftar Produk &amp; Harga'!$C$4+E29*'Daftar Produk &amp; Harga'!$C$5+F29*'Daftar Produk &amp; Harga'!$C$6+G29*'Daftar Produk &amp; Harga'!$C$7+H29*'Daftar Produk &amp; Harga'!$C$8+I29*'Daftar Produk &amp; Harga'!$C$9+J29*'Daftar Produk &amp; Harga'!$C$10+K29*'Daftar Produk &amp; Harga'!$C$11+L29*'Daftar Produk &amp; Harga'!$C$12+M29*'Daftar Produk &amp; Harga'!$C$13+N29*'Daftar Produk &amp; Harga'!$C$14+O29*'Daftar Produk &amp; Harga'!$C$15+P29*'Daftar Produk &amp; Harga'!$C$16+Q29*'Daftar Produk &amp; Harga'!$C$17+R29*'Daftar Produk &amp; Harga'!$C$18+S29*'Daftar Produk &amp; Harga'!$C$19+T29*'Daftar Produk &amp; Harga'!$C$20+U29*'Daftar Produk &amp; Harga'!$C$21+V29*'Daftar Produk &amp; Harga'!$C$22+W29*'Daftar Produk &amp; Harga'!$C$23+X29*'Daftar Produk &amp; Harga'!$C$24+Y29*'Daftar Produk &amp; Harga'!$C$25+Z29*'Daftar Produk &amp; Harga'!$C$26+AA29*'Daftar Produk &amp; Harga'!$C$27+AB29*'Daftar Produk &amp; Harga'!$C$28+AC29*'Daftar Produk &amp; Harga'!$C$29+AD29*'Daftar Produk &amp; Harga'!$C$30+AE29*'Daftar Produk &amp; Harga'!$C$31+AF29*'Daftar Produk &amp; Harga'!$C$32+AG29*'Daftar Produk &amp; Harga'!$C$33+AH29*'Daftar Produk &amp; Harga'!$C$34</x:f>
        <x:v>28395000</x:v>
      </x:c>
    </x:row>
    <x:row r="30" ht="18" customHeight="1">
      <x:c r="A30" s="178" t="n">
        <x:v>27</x:v>
      </x:c>
      <x:c r="B30" s="179" t="n">
        <x:v>46080</x:v>
      </x:c>
      <x:c r="C30" s="178" t="str">
        <x:v>Jumat</x:v>
      </x:c>
      <x:c r="D30" s="184" t="n">
        <x:v>0</x:v>
      </x:c>
      <x:c r="E30" s="184" t="n">
        <x:v>0</x:v>
      </x:c>
      <x:c r="F30" s="184" t="n">
        <x:v>50</x:v>
      </x:c>
      <x:c r="G30" s="184" t="n">
        <x:v>0</x:v>
      </x:c>
      <x:c r="H30" s="184" t="n">
        <x:v>0</x:v>
      </x:c>
      <x:c r="I30" s="184" t="n">
        <x:v>0</x:v>
      </x:c>
      <x:c r="J30" s="184" t="n">
        <x:v>0</x:v>
      </x:c>
      <x:c r="K30" s="184" t="n">
        <x:v>50</x:v>
      </x:c>
      <x:c r="L30" s="184" t="n">
        <x:v>40</x:v>
      </x:c>
      <x:c r="M30" s="184" t="n">
        <x:v>0</x:v>
      </x:c>
      <x:c r="N30" s="186" t="n">
        <x:v>40</x:v>
      </x:c>
      <x:c r="O30" s="186" t="n">
        <x:v>35</x:v>
      </x:c>
      <x:c r="P30" s="186" t="n">
        <x:v>35</x:v>
      </x:c>
      <x:c r="Q30" s="186" t="n">
        <x:v>40</x:v>
      </x:c>
      <x:c r="R30" s="186" t="n">
        <x:v>30</x:v>
      </x:c>
      <x:c r="S30" s="186" t="n">
        <x:v>35</x:v>
      </x:c>
      <x:c r="T30" s="186" t="n">
        <x:v>30</x:v>
      </x:c>
      <x:c r="U30" s="186" t="n">
        <x:v>40</x:v>
      </x:c>
      <x:c r="V30" s="186" t="n">
        <x:v>30</x:v>
      </x:c>
      <x:c r="W30" s="186" t="n">
        <x:v>35</x:v>
      </x:c>
      <x:c r="X30" s="186" t="n">
        <x:v>35</x:v>
      </x:c>
      <x:c r="Y30" s="186" t="n">
        <x:v>30</x:v>
      </x:c>
      <x:c r="Z30" s="186" t="n">
        <x:v>30</x:v>
      </x:c>
      <x:c r="AA30" s="186" t="n">
        <x:v>35</x:v>
      </x:c>
      <x:c r="AB30" s="186" t="n">
        <x:v>40</x:v>
      </x:c>
      <x:c r="AC30" s="186" t="n">
        <x:v>35</x:v>
      </x:c>
      <x:c r="AD30" s="186" t="n">
        <x:v>35</x:v>
      </x:c>
      <x:c r="AE30" s="186" t="n">
        <x:v>40</x:v>
      </x:c>
      <x:c r="AF30" s="186" t="n">
        <x:v>30</x:v>
      </x:c>
      <x:c r="AG30" s="186" t="n">
        <x:v>35</x:v>
      </x:c>
      <x:c r="AH30" s="186" t="n">
        <x:v>40</x:v>
      </x:c>
      <x:c r="AI30" s="188" t="n">
        <x:f>SUM(D30:AH30)</x:f>
        <x:v>875</x:v>
      </x:c>
      <x:c r="AJ30" s="196" t="n">
        <x:f>D30*'Daftar Produk &amp; Harga'!$C$4+E30*'Daftar Produk &amp; Harga'!$C$5+F30*'Daftar Produk &amp; Harga'!$C$6+G30*'Daftar Produk &amp; Harga'!$C$7+H30*'Daftar Produk &amp; Harga'!$C$8+I30*'Daftar Produk &amp; Harga'!$C$9+J30*'Daftar Produk &amp; Harga'!$C$10+K30*'Daftar Produk &amp; Harga'!$C$11+L30*'Daftar Produk &amp; Harga'!$C$12+M30*'Daftar Produk &amp; Harga'!$C$13+N30*'Daftar Produk &amp; Harga'!$C$14+O30*'Daftar Produk &amp; Harga'!$C$15+P30*'Daftar Produk &amp; Harga'!$C$16+Q30*'Daftar Produk &amp; Harga'!$C$17+R30*'Daftar Produk &amp; Harga'!$C$18+S30*'Daftar Produk &amp; Harga'!$C$19+T30*'Daftar Produk &amp; Harga'!$C$20+U30*'Daftar Produk &amp; Harga'!$C$21+V30*'Daftar Produk &amp; Harga'!$C$22+W30*'Daftar Produk &amp; Harga'!$C$23+X30*'Daftar Produk &amp; Harga'!$C$24+Y30*'Daftar Produk &amp; Harga'!$C$25+Z30*'Daftar Produk &amp; Harga'!$C$26+AA30*'Daftar Produk &amp; Harga'!$C$27+AB30*'Daftar Produk &amp; Harga'!$C$28+AC30*'Daftar Produk &amp; Harga'!$C$29+AD30*'Daftar Produk &amp; Harga'!$C$30+AE30*'Daftar Produk &amp; Harga'!$C$31+AF30*'Daftar Produk &amp; Harga'!$C$32+AG30*'Daftar Produk &amp; Harga'!$C$33+AH30*'Daftar Produk &amp; Harga'!$C$34</x:f>
        <x:v>28955000</x:v>
      </x:c>
    </x:row>
    <x:row r="31" ht="18" customHeight="1">
      <x:c r="A31" s="178" t="n">
        <x:v>28</x:v>
      </x:c>
      <x:c r="B31" s="179" t="n">
        <x:v>46081</x:v>
      </x:c>
      <x:c r="C31" s="178" t="str">
        <x:v>Sabtu</x:v>
      </x:c>
      <x:c r="D31" s="184" t="n">
        <x:v>0</x:v>
      </x:c>
      <x:c r="E31" s="184" t="n">
        <x:v>0</x:v>
      </x:c>
      <x:c r="F31" s="184" t="n">
        <x:v>0</x:v>
      </x:c>
      <x:c r="G31" s="184" t="n">
        <x:v>0</x:v>
      </x:c>
      <x:c r="H31" s="184" t="n">
        <x:v>0</x:v>
      </x:c>
      <x:c r="I31" s="184" t="n">
        <x:v>0</x:v>
      </x:c>
      <x:c r="J31" s="184" t="n">
        <x:v>0</x:v>
      </x:c>
      <x:c r="K31" s="184" t="n">
        <x:v>0</x:v>
      </x:c>
      <x:c r="L31" s="184" t="n">
        <x:v>40</x:v>
      </x:c>
      <x:c r="M31" s="184" t="n">
        <x:v>0</x:v>
      </x:c>
      <x:c r="N31" s="186" t="n">
        <x:v>50</x:v>
      </x:c>
      <x:c r="O31" s="186" t="n">
        <x:v>45</x:v>
      </x:c>
      <x:c r="P31" s="186" t="n">
        <x:v>35</x:v>
      </x:c>
      <x:c r="Q31" s="186" t="n">
        <x:v>45</x:v>
      </x:c>
      <x:c r="R31" s="186" t="n">
        <x:v>50</x:v>
      </x:c>
      <x:c r="S31" s="186" t="n">
        <x:v>35</x:v>
      </x:c>
      <x:c r="T31" s="186" t="n">
        <x:v>45</x:v>
      </x:c>
      <x:c r="U31" s="186" t="n">
        <x:v>40</x:v>
      </x:c>
      <x:c r="V31" s="186" t="n">
        <x:v>35</x:v>
      </x:c>
      <x:c r="W31" s="186" t="n">
        <x:v>50</x:v>
      </x:c>
      <x:c r="X31" s="186" t="n">
        <x:v>35</x:v>
      </x:c>
      <x:c r="Y31" s="186" t="n">
        <x:v>40</x:v>
      </x:c>
      <x:c r="Z31" s="186" t="n">
        <x:v>45</x:v>
      </x:c>
      <x:c r="AA31" s="186" t="n">
        <x:v>45</x:v>
      </x:c>
      <x:c r="AB31" s="186" t="n">
        <x:v>45</x:v>
      </x:c>
      <x:c r="AC31" s="186" t="n">
        <x:v>40</x:v>
      </x:c>
      <x:c r="AD31" s="186" t="n">
        <x:v>50</x:v>
      </x:c>
      <x:c r="AE31" s="186" t="n">
        <x:v>50</x:v>
      </x:c>
      <x:c r="AF31" s="186" t="n">
        <x:v>50</x:v>
      </x:c>
      <x:c r="AG31" s="186" t="n">
        <x:v>35</x:v>
      </x:c>
      <x:c r="AH31" s="186" t="n">
        <x:v>50</x:v>
      </x:c>
      <x:c r="AI31" s="188" t="n">
        <x:f>SUM(D31:AH31)</x:f>
        <x:v>955</x:v>
      </x:c>
      <x:c r="AJ31" s="196" t="n">
        <x:f>D31*'Daftar Produk &amp; Harga'!$C$4+E31*'Daftar Produk &amp; Harga'!$C$5+F31*'Daftar Produk &amp; Harga'!$C$6+G31*'Daftar Produk &amp; Harga'!$C$7+H31*'Daftar Produk &amp; Harga'!$C$8+I31*'Daftar Produk &amp; Harga'!$C$9+J31*'Daftar Produk &amp; Harga'!$C$10+K31*'Daftar Produk &amp; Harga'!$C$11+L31*'Daftar Produk &amp; Harga'!$C$12+M31*'Daftar Produk &amp; Harga'!$C$13+N31*'Daftar Produk &amp; Harga'!$C$14+O31*'Daftar Produk &amp; Harga'!$C$15+P31*'Daftar Produk &amp; Harga'!$C$16+Q31*'Daftar Produk &amp; Harga'!$C$17+R31*'Daftar Produk &amp; Harga'!$C$18+S31*'Daftar Produk &amp; Harga'!$C$19+T31*'Daftar Produk &amp; Harga'!$C$20+U31*'Daftar Produk &amp; Harga'!$C$21+V31*'Daftar Produk &amp; Harga'!$C$22+W31*'Daftar Produk &amp; Harga'!$C$23+X31*'Daftar Produk &amp; Harga'!$C$24+Y31*'Daftar Produk &amp; Harga'!$C$25+Z31*'Daftar Produk &amp; Harga'!$C$26+AA31*'Daftar Produk &amp; Harga'!$C$27+AB31*'Daftar Produk &amp; Harga'!$C$28+AC31*'Daftar Produk &amp; Harga'!$C$29+AD31*'Daftar Produk &amp; Harga'!$C$30+AE31*'Daftar Produk &amp; Harga'!$C$31+AF31*'Daftar Produk &amp; Harga'!$C$32+AG31*'Daftar Produk &amp; Harga'!$C$33+AH31*'Daftar Produk &amp; Harga'!$C$34</x:f>
        <x:v>31350000</x:v>
      </x:c>
    </x:row>
    <x:row r="32">
      <x:c r="A32" s="61" t="str">
        <x:v>TOTAL FEBRUARI 2026</x:v>
      </x:c>
      <x:c r="B32" s="61"/>
      <x:c r="C32" s="61"/>
      <x:c r="D32" s="62" t="n">
        <x:f>SUM(D4:D31)</x:f>
        <x:v>220</x:v>
      </x:c>
      <x:c r="E32" s="62" t="n">
        <x:f>SUM(E4:E31)</x:f>
        <x:v>270</x:v>
      </x:c>
      <x:c r="F32" s="62" t="n">
        <x:f>SUM(F4:F31)</x:f>
        <x:v>270</x:v>
      </x:c>
      <x:c r="G32" s="62" t="n">
        <x:f>SUM(G4:G31)</x:f>
        <x:v>150</x:v>
      </x:c>
      <x:c r="H32" s="62" t="n">
        <x:f>SUM(H4:H31)</x:f>
        <x:v>230</x:v>
      </x:c>
      <x:c r="I32" s="62" t="n">
        <x:f>SUM(I4:I31)</x:f>
        <x:v>260</x:v>
      </x:c>
      <x:c r="J32" s="62" t="n">
        <x:f>SUM(J4:J31)</x:f>
        <x:v>240</x:v>
      </x:c>
      <x:c r="K32" s="62" t="n">
        <x:f>SUM(K4:K31)</x:f>
        <x:v>330</x:v>
      </x:c>
      <x:c r="L32" s="62" t="n">
        <x:f>SUM(L4:L31)</x:f>
        <x:v>270</x:v>
      </x:c>
      <x:c r="M32" s="62" t="n">
        <x:f>SUM(M4:M31)</x:f>
        <x:v>480</x:v>
      </x:c>
      <x:c r="N32" s="62" t="n">
        <x:f>SUM(N4:N31)</x:f>
        <x:v>1075</x:v>
      </x:c>
      <x:c r="O32" s="62" t="n">
        <x:f>SUM(O4:O31)</x:f>
        <x:v>1065</x:v>
      </x:c>
      <x:c r="P32" s="62" t="n">
        <x:f>SUM(P4:P31)</x:f>
        <x:v>1035</x:v>
      </x:c>
      <x:c r="Q32" s="62" t="n">
        <x:f>SUM(Q4:Q31)</x:f>
        <x:v>1060</x:v>
      </x:c>
      <x:c r="R32" s="62" t="n">
        <x:f>SUM(R4:R31)</x:f>
        <x:v>1060</x:v>
      </x:c>
      <x:c r="S32" s="62" t="n">
        <x:f>SUM(S4:S31)</x:f>
        <x:v>1015</x:v>
      </x:c>
      <x:c r="T32" s="62" t="n">
        <x:f>SUM(T4:T31)</x:f>
        <x:v>1045</x:v>
      </x:c>
      <x:c r="U32" s="62" t="n">
        <x:f>SUM(U4:U31)</x:f>
        <x:v>1060</x:v>
      </x:c>
      <x:c r="V32" s="62" t="n">
        <x:f>SUM(V4:V31)</x:f>
        <x:v>1025</x:v>
      </x:c>
      <x:c r="W32" s="62" t="n">
        <x:f>SUM(W4:W31)</x:f>
        <x:v>1020</x:v>
      </x:c>
      <x:c r="X32" s="62" t="n">
        <x:f>SUM(X4:X31)</x:f>
        <x:v>1005</x:v>
      </x:c>
      <x:c r="Y32" s="62" t="n">
        <x:f>SUM(Y4:Y31)</x:f>
        <x:v>1010</x:v>
      </x:c>
      <x:c r="Z32" s="62" t="n">
        <x:f>SUM(Z4:Z31)</x:f>
        <x:v>1075</x:v>
      </x:c>
      <x:c r="AA32" s="62" t="n">
        <x:f>SUM(AA4:AA31)</x:f>
        <x:v>1020</x:v>
      </x:c>
      <x:c r="AB32" s="62" t="n">
        <x:f>SUM(AB4:AB31)</x:f>
        <x:v>1040</x:v>
      </x:c>
      <x:c r="AC32" s="62" t="n">
        <x:f>SUM(AC4:AC31)</x:f>
        <x:v>1030</x:v>
      </x:c>
      <x:c r="AD32" s="62" t="n">
        <x:f>SUM(AD4:AD31)</x:f>
        <x:v>1045</x:v>
      </x:c>
      <x:c r="AE32" s="62" t="n">
        <x:f>SUM(AE4:AE31)</x:f>
        <x:v>1040</x:v>
      </x:c>
      <x:c r="AF32" s="62" t="n">
        <x:f>SUM(AF4:AF31)</x:f>
        <x:v>1060</x:v>
      </x:c>
      <x:c r="AG32" s="62" t="n">
        <x:f>SUM(AG4:AG31)</x:f>
        <x:v>1030</x:v>
      </x:c>
      <x:c r="AH32" s="62" t="n">
        <x:f>SUM(AH4:AH31)</x:f>
        <x:v>1050</x:v>
      </x:c>
      <x:c r="AI32" s="62" t="n">
        <x:f>SUM(AI4:AI31)</x:f>
        <x:v>24585</x:v>
      </x:c>
      <x:c r="AJ32" s="62" t="n">
        <x:f>SUM(AJ4:AJ31)</x:f>
        <x:v>805085000</x:v>
      </x:c>
    </x:row>
  </x:sheetData>
  <x:mergeCells>
    <x:mergeCell ref="A1:AJ1"/>
    <x:mergeCell ref="A2:AJ2"/>
  </x:mergeCells>
  <x:pageMargins left="0.7" right="0.7" top="0.75" bottom="0.75" header="0.3" footer="0.3"/>
</x:worksheet>
</file>

<file path=xl/worksheets/sheet6.xml><?xml version="1.0" encoding="utf-8"?>
<x:worksheet xmlns:x="http://schemas.openxmlformats.org/spreadsheetml/2006/main">
  <x:sheetFormatPr defaultRowHeight="15"/>
  <x:cols>
    <x:col min="1" max="1" width="6" hidden="0" customWidth="1"/>
    <x:col min="2" max="2" width="13" hidden="0" customWidth="1"/>
    <x:col min="3" max="3" width="11" hidden="0" customWidth="1"/>
    <x:col min="4" max="4" width="15" hidden="0" customWidth="1"/>
    <x:col min="5" max="5" width="15" hidden="0" customWidth="1"/>
    <x:col min="6" max="6" width="15" hidden="0" customWidth="1"/>
    <x:col min="7" max="7" width="15" hidden="0" customWidth="1"/>
    <x:col min="8" max="8" width="15" hidden="0" customWidth="1"/>
    <x:col min="9" max="9" width="15" hidden="0" customWidth="1"/>
    <x:col min="10" max="10" width="15" hidden="0" customWidth="1"/>
    <x:col min="11" max="11" width="15" hidden="0" customWidth="1"/>
    <x:col min="12" max="12" width="15" hidden="0" customWidth="1"/>
    <x:col min="13" max="13" width="15" hidden="0" customWidth="1"/>
    <x:col min="14" max="14" width="15" hidden="0" customWidth="1"/>
    <x:col min="15" max="15" width="15" hidden="0" customWidth="1"/>
    <x:col min="16" max="16" width="15" hidden="0" customWidth="1"/>
    <x:col min="17" max="17" width="15" hidden="0" customWidth="1"/>
    <x:col min="18" max="18" width="15" hidden="0" customWidth="1"/>
    <x:col min="19" max="19" width="15" hidden="0" customWidth="1"/>
    <x:col min="20" max="20" width="15" hidden="0" customWidth="1"/>
    <x:col min="21" max="21" width="15" hidden="0" customWidth="1"/>
    <x:col min="22" max="22" width="15" hidden="0" customWidth="1"/>
    <x:col min="23" max="23" width="15" hidden="0" customWidth="1"/>
    <x:col min="24" max="24" width="15" hidden="0" customWidth="1"/>
    <x:col min="25" max="25" width="15" hidden="0" customWidth="1"/>
    <x:col min="26" max="26" width="15" hidden="0" customWidth="1"/>
    <x:col min="27" max="27" width="15" hidden="0" customWidth="1"/>
    <x:col min="28" max="28" width="15" hidden="0" customWidth="1"/>
    <x:col min="29" max="29" width="15" hidden="0" customWidth="1"/>
    <x:col min="30" max="30" width="15" hidden="0" customWidth="1"/>
    <x:col min="31" max="31" width="15" hidden="0" customWidth="1"/>
    <x:col min="32" max="32" width="15" hidden="0" customWidth="1"/>
    <x:col min="33" max="33" width="15" hidden="0" customWidth="1"/>
    <x:col min="34" max="34" width="15" hidden="0" customWidth="1"/>
    <x:col min="35" max="35" width="13" hidden="0" customWidth="1"/>
    <x:col min="36" max="36" width="20" hidden="0" customWidth="1"/>
  </x:cols>
  <x:sheetData>
    <x:row r="1" ht="28" customHeight="1">
      <x:c r="A1" s="102" t="str">
        <x:v>DELLA FROZEN MART – DATA PENJUALAN HARIAN 31 PRODUK | MARET 2026</x:v>
      </x:c>
      <x:c r="B1" s="102"/>
      <x:c r="C1" s="102"/>
      <x:c r="D1" s="102"/>
      <x:c r="E1" s="102"/>
      <x:c r="F1" s="102"/>
      <x:c r="G1" s="102"/>
      <x:c r="H1" s="102"/>
      <x:c r="I1" s="102"/>
      <x:c r="J1" s="102"/>
      <x:c r="K1" s="102"/>
      <x:c r="L1" s="102"/>
      <x:c r="M1" s="102"/>
      <x:c r="N1" s="102"/>
      <x:c r="O1" s="102"/>
      <x:c r="P1" s="102"/>
      <x:c r="Q1" s="102"/>
      <x:c r="R1" s="102"/>
      <x:c r="S1" s="102"/>
      <x:c r="T1" s="102"/>
      <x:c r="U1" s="102"/>
      <x:c r="V1" s="102"/>
      <x:c r="W1" s="102"/>
      <x:c r="X1" s="102"/>
      <x:c r="Y1" s="102"/>
      <x:c r="Z1" s="102"/>
      <x:c r="AA1" s="102"/>
      <x:c r="AB1" s="102"/>
      <x:c r="AC1" s="102"/>
      <x:c r="AD1" s="102"/>
      <x:c r="AE1" s="102"/>
      <x:c r="AF1" s="102"/>
      <x:c r="AG1" s="102"/>
      <x:c r="AH1" s="102"/>
      <x:c r="AI1" s="102"/>
      <x:c r="AJ1" s="102"/>
    </x:row>
    <x:row r="2" ht="22" customHeight="1">
      <x:c r="A2" s="145" t="str">
        <x:v>Gabungan 10 produk data dasar dan 21 produk simulasi tambahan. Lihat sheet 'Metodologi &amp; Disclaimer'.</x:v>
      </x:c>
      <x:c r="B2" s="145"/>
      <x:c r="C2" s="145"/>
      <x:c r="D2" s="145"/>
      <x:c r="E2" s="145"/>
      <x:c r="F2" s="145"/>
      <x:c r="G2" s="145"/>
      <x:c r="H2" s="145"/>
      <x:c r="I2" s="145"/>
      <x:c r="J2" s="145"/>
      <x:c r="K2" s="145"/>
      <x:c r="L2" s="145"/>
      <x:c r="M2" s="145"/>
      <x:c r="N2" s="145"/>
      <x:c r="O2" s="145"/>
      <x:c r="P2" s="145"/>
      <x:c r="Q2" s="145"/>
      <x:c r="R2" s="145"/>
      <x:c r="S2" s="145"/>
      <x:c r="T2" s="145"/>
      <x:c r="U2" s="145"/>
      <x:c r="V2" s="145"/>
      <x:c r="W2" s="145"/>
      <x:c r="X2" s="145"/>
      <x:c r="Y2" s="145"/>
      <x:c r="Z2" s="145"/>
      <x:c r="AA2" s="145"/>
      <x:c r="AB2" s="145"/>
      <x:c r="AC2" s="145"/>
      <x:c r="AD2" s="145"/>
      <x:c r="AE2" s="145"/>
      <x:c r="AF2" s="145"/>
      <x:c r="AG2" s="145"/>
      <x:c r="AH2" s="145"/>
      <x:c r="AI2" s="145"/>
      <x:c r="AJ2" s="145"/>
    </x:row>
    <x:row r="3" ht="58" customHeight="1">
      <x:c r="A3" s="53" t="str">
        <x:v>No</x:v>
      </x:c>
      <x:c r="B3" s="53" t="str">
        <x:v>Tanggal</x:v>
      </x:c>
      <x:c r="C3" s="53" t="str">
        <x:v>Hari</x:v>
      </x:c>
      <x:c r="D3" s="156" t="str">
        <x:v>Okey Sosis 500GR</x:v>
      </x:c>
      <x:c r="E3" s="156" t="str">
        <x:v>Fiesta Chicken Nugget 450GR</x:v>
      </x:c>
      <x:c r="F3" s="156" t="str">
        <x:v>Jamur Enoki</x:v>
      </x:c>
      <x:c r="G3" s="156" t="str">
        <x:v>Meru Lapis Bogor</x:v>
      </x:c>
      <x:c r="H3" s="156" t="str">
        <x:v>Okey Nugget Stik 500GR</x:v>
      </x:c>
      <x:c r="I3" s="156" t="str">
        <x:v>Cireng Rujak</x:v>
      </x:c>
      <x:c r="J3" s="156" t="str">
        <x:v>Salam Nugget 500GR</x:v>
      </x:c>
      <x:c r="K3" s="156" t="str">
        <x:v>Warisan Isi 50</x:v>
      </x:c>
      <x:c r="L3" s="156" t="str">
        <x:v>Belfood Sosis Isi 30</x:v>
      </x:c>
      <x:c r="M3" s="156" t="str">
        <x:v>Richeese Nugget</x:v>
      </x:c>
      <x:c r="N3" s="166" t="str">
        <x:v>Nugget Ayam Original 500g</x:v>
      </x:c>
      <x:c r="O3" s="166" t="str">
        <x:v>Nugget Ayam Crispy 400g</x:v>
      </x:c>
      <x:c r="P3" s="166" t="str">
        <x:v>Champ Nugget Kombinasi 450GR</x:v>
      </x:c>
      <x:c r="Q3" s="166" t="str">
        <x:v>Chicken Nugget Stick 250g</x:v>
      </x:c>
      <x:c r="R3" s="166" t="str">
        <x:v>Chicken Nugget Stick 500g</x:v>
      </x:c>
      <x:c r="S3" s="166" t="str">
        <x:v>Bakso Soni</x:v>
      </x:c>
      <x:c r="T3" s="166" t="str">
        <x:v>Spicy Chicken Wings 500g</x:v>
      </x:c>
      <x:c r="U3" s="166" t="str">
        <x:v>Sosis Ayam Besar 360g</x:v>
      </x:c>
      <x:c r="V3" s="166" t="str">
        <x:v>Sosis Sapi Jumbo 500g</x:v>
      </x:c>
      <x:c r="W3" s="166" t="str">
        <x:v>Sosis Kanzler Beef 500g</x:v>
      </x:c>
      <x:c r="X3" s="166" t="str">
        <x:v>Sosis Kanzler Cheese 300g</x:v>
      </x:c>
      <x:c r="Y3" s="166" t="str">
        <x:v>Sosis Kanzler Cheese 500g</x:v>
      </x:c>
      <x:c r="Z3" s="166" t="str">
        <x:v>Bakso Sapi Jumbo 500g</x:v>
      </x:c>
      <x:c r="AA3" s="166" t="str">
        <x:v>Warisan Isi 25</x:v>
      </x:c>
      <x:c r="AB3" s="166" t="str">
        <x:v>Onion Ring Frozen 250g</x:v>
      </x:c>
      <x:c r="AC3" s="166" t="str">
        <x:v>Onion Ring Frozen 500g</x:v>
      </x:c>
      <x:c r="AD3" s="166" t="str">
        <x:v>Champ Sosis Sapi 375 gr</x:v>
      </x:c>
      <x:c r="AE3" s="166" t="str">
        <x:v>Sallam Nugget 250 gr</x:v>
      </x:c>
      <x:c r="AF3" s="166" t="str">
        <x:v>Sallam Bakso Sapi 500 gr</x:v>
      </x:c>
      <x:c r="AG3" s="166" t="str">
        <x:v>Fiesta Kentang 500 gr</x:v>
      </x:c>
      <x:c r="AH3" s="166" t="str">
        <x:v>Belfood Chicken Nugget 500gr</x:v>
      </x:c>
      <x:c r="AI3" s="28" t="str">
        <x:v>Total Qty</x:v>
      </x:c>
      <x:c r="AJ3" s="28" t="str">
        <x:v>Total Penjualan (Rp)</x:v>
      </x:c>
    </x:row>
    <x:row r="4" ht="18" customHeight="1">
      <x:c r="A4" s="178" t="n">
        <x:v>1</x:v>
      </x:c>
      <x:c r="B4" s="179" t="n">
        <x:v>46082</x:v>
      </x:c>
      <x:c r="C4" s="178" t="str">
        <x:v>Minggu</x:v>
      </x:c>
      <x:c r="D4" s="184" t="n">
        <x:v>30</x:v>
      </x:c>
      <x:c r="E4" s="184" t="n">
        <x:v>0</x:v>
      </x:c>
      <x:c r="F4" s="184" t="n">
        <x:v>0</x:v>
      </x:c>
      <x:c r="G4" s="184" t="n">
        <x:v>0</x:v>
      </x:c>
      <x:c r="H4" s="184" t="n">
        <x:v>40</x:v>
      </x:c>
      <x:c r="I4" s="184" t="n">
        <x:v>0</x:v>
      </x:c>
      <x:c r="J4" s="184" t="n">
        <x:v>0</x:v>
      </x:c>
      <x:c r="K4" s="184" t="n">
        <x:v>50</x:v>
      </x:c>
      <x:c r="L4" s="184" t="n">
        <x:v>0</x:v>
      </x:c>
      <x:c r="M4" s="184" t="n">
        <x:v>0</x:v>
      </x:c>
      <x:c r="N4" s="186" t="n">
        <x:v>50</x:v>
      </x:c>
      <x:c r="O4" s="186" t="n">
        <x:v>45</x:v>
      </x:c>
      <x:c r="P4" s="186" t="n">
        <x:v>60</x:v>
      </x:c>
      <x:c r="Q4" s="186" t="n">
        <x:v>60</x:v>
      </x:c>
      <x:c r="R4" s="186" t="n">
        <x:v>65</x:v>
      </x:c>
      <x:c r="S4" s="186" t="n">
        <x:v>55</x:v>
      </x:c>
      <x:c r="T4" s="186" t="n">
        <x:v>50</x:v>
      </x:c>
      <x:c r="U4" s="186" t="n">
        <x:v>50</x:v>
      </x:c>
      <x:c r="V4" s="186" t="n">
        <x:v>45</x:v>
      </x:c>
      <x:c r="W4" s="186" t="n">
        <x:v>50</x:v>
      </x:c>
      <x:c r="X4" s="186" t="n">
        <x:v>60</x:v>
      </x:c>
      <x:c r="Y4" s="186" t="n">
        <x:v>60</x:v>
      </x:c>
      <x:c r="Z4" s="186" t="n">
        <x:v>55</x:v>
      </x:c>
      <x:c r="AA4" s="186" t="n">
        <x:v>65</x:v>
      </x:c>
      <x:c r="AB4" s="186" t="n">
        <x:v>50</x:v>
      </x:c>
      <x:c r="AC4" s="186" t="n">
        <x:v>45</x:v>
      </x:c>
      <x:c r="AD4" s="186" t="n">
        <x:v>50</x:v>
      </x:c>
      <x:c r="AE4" s="186" t="n">
        <x:v>65</x:v>
      </x:c>
      <x:c r="AF4" s="186" t="n">
        <x:v>50</x:v>
      </x:c>
      <x:c r="AG4" s="186" t="n">
        <x:v>50</x:v>
      </x:c>
      <x:c r="AH4" s="186" t="n">
        <x:v>45</x:v>
      </x:c>
      <x:c r="AI4" s="188" t="n">
        <x:f>SUM(D4:AH4)</x:f>
        <x:v>1245</x:v>
      </x:c>
      <x:c r="AJ4" s="196" t="n">
        <x:f>D4*'Daftar Produk &amp; Harga'!$C$4+E4*'Daftar Produk &amp; Harga'!$C$5+F4*'Daftar Produk &amp; Harga'!$C$6+G4*'Daftar Produk &amp; Harga'!$C$7+H4*'Daftar Produk &amp; Harga'!$C$8+I4*'Daftar Produk &amp; Harga'!$C$9+J4*'Daftar Produk &amp; Harga'!$C$10+K4*'Daftar Produk &amp; Harga'!$C$11+L4*'Daftar Produk &amp; Harga'!$C$12+M4*'Daftar Produk &amp; Harga'!$C$13+N4*'Daftar Produk &amp; Harga'!$C$14+O4*'Daftar Produk &amp; Harga'!$C$15+P4*'Daftar Produk &amp; Harga'!$C$16+Q4*'Daftar Produk &amp; Harga'!$C$17+R4*'Daftar Produk &amp; Harga'!$C$18+S4*'Daftar Produk &amp; Harga'!$C$19+T4*'Daftar Produk &amp; Harga'!$C$20+U4*'Daftar Produk &amp; Harga'!$C$21+V4*'Daftar Produk &amp; Harga'!$C$22+W4*'Daftar Produk &amp; Harga'!$C$23+X4*'Daftar Produk &amp; Harga'!$C$24+Y4*'Daftar Produk &amp; Harga'!$C$25+Z4*'Daftar Produk &amp; Harga'!$C$26+AA4*'Daftar Produk &amp; Harga'!$C$27+AB4*'Daftar Produk &amp; Harga'!$C$28+AC4*'Daftar Produk &amp; Harga'!$C$29+AD4*'Daftar Produk &amp; Harga'!$C$30+AE4*'Daftar Produk &amp; Harga'!$C$31+AF4*'Daftar Produk &amp; Harga'!$C$32+AG4*'Daftar Produk &amp; Harga'!$C$33+AH4*'Daftar Produk &amp; Harga'!$C$34</x:f>
        <x:v>41270000</x:v>
      </x:c>
    </x:row>
    <x:row r="5" ht="18" customHeight="1">
      <x:c r="A5" s="178" t="n">
        <x:v>2</x:v>
      </x:c>
      <x:c r="B5" s="179" t="n">
        <x:v>46083</x:v>
      </x:c>
      <x:c r="C5" s="178" t="str">
        <x:v>Senin</x:v>
      </x:c>
      <x:c r="D5" s="184" t="n">
        <x:v>20</x:v>
      </x:c>
      <x:c r="E5" s="184" t="n">
        <x:v>50</x:v>
      </x:c>
      <x:c r="F5" s="184" t="n">
        <x:v>40</x:v>
      </x:c>
      <x:c r="G5" s="184" t="n">
        <x:v>0</x:v>
      </x:c>
      <x:c r="H5" s="184" t="n">
        <x:v>40</x:v>
      </x:c>
      <x:c r="I5" s="184" t="n">
        <x:v>0</x:v>
      </x:c>
      <x:c r="J5" s="184" t="n">
        <x:v>40</x:v>
      </x:c>
      <x:c r="K5" s="184" t="n">
        <x:v>50</x:v>
      </x:c>
      <x:c r="L5" s="184" t="n">
        <x:v>40</x:v>
      </x:c>
      <x:c r="M5" s="184" t="n">
        <x:v>40</x:v>
      </x:c>
      <x:c r="N5" s="186" t="n">
        <x:v>50</x:v>
      </x:c>
      <x:c r="O5" s="186" t="n">
        <x:v>45</x:v>
      </x:c>
      <x:c r="P5" s="186" t="n">
        <x:v>45</x:v>
      </x:c>
      <x:c r="Q5" s="186" t="n">
        <x:v>45</x:v>
      </x:c>
      <x:c r="R5" s="186" t="n">
        <x:v>50</x:v>
      </x:c>
      <x:c r="S5" s="186" t="n">
        <x:v>45</x:v>
      </x:c>
      <x:c r="T5" s="186" t="n">
        <x:v>50</x:v>
      </x:c>
      <x:c r="U5" s="186" t="n">
        <x:v>45</x:v>
      </x:c>
      <x:c r="V5" s="186" t="n">
        <x:v>45</x:v>
      </x:c>
      <x:c r="W5" s="186" t="n">
        <x:v>35</x:v>
      </x:c>
      <x:c r="X5" s="186" t="n">
        <x:v>50</x:v>
      </x:c>
      <x:c r="Y5" s="186" t="n">
        <x:v>55</x:v>
      </x:c>
      <x:c r="Z5" s="186" t="n">
        <x:v>35</x:v>
      </x:c>
      <x:c r="AA5" s="186" t="n">
        <x:v>55</x:v>
      </x:c>
      <x:c r="AB5" s="186" t="n">
        <x:v>45</x:v>
      </x:c>
      <x:c r="AC5" s="186" t="n">
        <x:v>45</x:v>
      </x:c>
      <x:c r="AD5" s="186" t="n">
        <x:v>35</x:v>
      </x:c>
      <x:c r="AE5" s="186" t="n">
        <x:v>45</x:v>
      </x:c>
      <x:c r="AF5" s="186" t="n">
        <x:v>55</x:v>
      </x:c>
      <x:c r="AG5" s="186" t="n">
        <x:v>40</x:v>
      </x:c>
      <x:c r="AH5" s="186" t="n">
        <x:v>45</x:v>
      </x:c>
      <x:c r="AI5" s="188" t="n">
        <x:f>SUM(D5:AH5)</x:f>
        <x:v>1280</x:v>
      </x:c>
      <x:c r="AJ5" s="196" t="n">
        <x:f>D5*'Daftar Produk &amp; Harga'!$C$4+E5*'Daftar Produk &amp; Harga'!$C$5+F5*'Daftar Produk &amp; Harga'!$C$6+G5*'Daftar Produk &amp; Harga'!$C$7+H5*'Daftar Produk &amp; Harga'!$C$8+I5*'Daftar Produk &amp; Harga'!$C$9+J5*'Daftar Produk &amp; Harga'!$C$10+K5*'Daftar Produk &amp; Harga'!$C$11+L5*'Daftar Produk &amp; Harga'!$C$12+M5*'Daftar Produk &amp; Harga'!$C$13+N5*'Daftar Produk &amp; Harga'!$C$14+O5*'Daftar Produk &amp; Harga'!$C$15+P5*'Daftar Produk &amp; Harga'!$C$16+Q5*'Daftar Produk &amp; Harga'!$C$17+R5*'Daftar Produk &amp; Harga'!$C$18+S5*'Daftar Produk &amp; Harga'!$C$19+T5*'Daftar Produk &amp; Harga'!$C$20+U5*'Daftar Produk &amp; Harga'!$C$21+V5*'Daftar Produk &amp; Harga'!$C$22+W5*'Daftar Produk &amp; Harga'!$C$23+X5*'Daftar Produk &amp; Harga'!$C$24+Y5*'Daftar Produk &amp; Harga'!$C$25+Z5*'Daftar Produk &amp; Harga'!$C$26+AA5*'Daftar Produk &amp; Harga'!$C$27+AB5*'Daftar Produk &amp; Harga'!$C$28+AC5*'Daftar Produk &amp; Harga'!$C$29+AD5*'Daftar Produk &amp; Harga'!$C$30+AE5*'Daftar Produk &amp; Harga'!$C$31+AF5*'Daftar Produk &amp; Harga'!$C$32+AG5*'Daftar Produk &amp; Harga'!$C$33+AH5*'Daftar Produk &amp; Harga'!$C$34</x:f>
        <x:v>43160000</x:v>
      </x:c>
    </x:row>
    <x:row r="6" ht="18" customHeight="1">
      <x:c r="A6" s="178" t="n">
        <x:v>3</x:v>
      </x:c>
      <x:c r="B6" s="179" t="n">
        <x:v>46084</x:v>
      </x:c>
      <x:c r="C6" s="178" t="str">
        <x:v>Selasa</x:v>
      </x:c>
      <x:c r="D6" s="184" t="n">
        <x:v>30</x:v>
      </x:c>
      <x:c r="E6" s="184" t="n">
        <x:v>50</x:v>
      </x:c>
      <x:c r="F6" s="184" t="n">
        <x:v>40</x:v>
      </x:c>
      <x:c r="G6" s="184" t="n">
        <x:v>40</x:v>
      </x:c>
      <x:c r="H6" s="184" t="n">
        <x:v>50</x:v>
      </x:c>
      <x:c r="I6" s="184" t="n">
        <x:v>0</x:v>
      </x:c>
      <x:c r="J6" s="184" t="n">
        <x:v>50</x:v>
      </x:c>
      <x:c r="K6" s="184" t="n">
        <x:v>50</x:v>
      </x:c>
      <x:c r="L6" s="184" t="n">
        <x:v>50</x:v>
      </x:c>
      <x:c r="M6" s="184" t="n">
        <x:v>40</x:v>
      </x:c>
      <x:c r="N6" s="186" t="n">
        <x:v>50</x:v>
      </x:c>
      <x:c r="O6" s="186" t="n">
        <x:v>50</x:v>
      </x:c>
      <x:c r="P6" s="186" t="n">
        <x:v>40</x:v>
      </x:c>
      <x:c r="Q6" s="186" t="n">
        <x:v>45</x:v>
      </x:c>
      <x:c r="R6" s="186" t="n">
        <x:v>50</x:v>
      </x:c>
      <x:c r="S6" s="186" t="n">
        <x:v>45</x:v>
      </x:c>
      <x:c r="T6" s="186" t="n">
        <x:v>35</x:v>
      </x:c>
      <x:c r="U6" s="186" t="n">
        <x:v>50</x:v>
      </x:c>
      <x:c r="V6" s="186" t="n">
        <x:v>45</x:v>
      </x:c>
      <x:c r="W6" s="186" t="n">
        <x:v>45</x:v>
      </x:c>
      <x:c r="X6" s="186" t="n">
        <x:v>55</x:v>
      </x:c>
      <x:c r="Y6" s="186" t="n">
        <x:v>45</x:v>
      </x:c>
      <x:c r="Z6" s="186" t="n">
        <x:v>45</x:v>
      </x:c>
      <x:c r="AA6" s="186" t="n">
        <x:v>45</x:v>
      </x:c>
      <x:c r="AB6" s="186" t="n">
        <x:v>45</x:v>
      </x:c>
      <x:c r="AC6" s="186" t="n">
        <x:v>35</x:v>
      </x:c>
      <x:c r="AD6" s="186" t="n">
        <x:v>50</x:v>
      </x:c>
      <x:c r="AE6" s="186" t="n">
        <x:v>40</x:v>
      </x:c>
      <x:c r="AF6" s="186" t="n">
        <x:v>35</x:v>
      </x:c>
      <x:c r="AG6" s="186" t="n">
        <x:v>35</x:v>
      </x:c>
      <x:c r="AH6" s="186" t="n">
        <x:v>35</x:v>
      </x:c>
      <x:c r="AI6" s="188" t="n">
        <x:f>SUM(D6:AH6)</x:f>
        <x:v>1320</x:v>
      </x:c>
      <x:c r="AJ6" s="196" t="n">
        <x:f>D6*'Daftar Produk &amp; Harga'!$C$4+E6*'Daftar Produk &amp; Harga'!$C$5+F6*'Daftar Produk &amp; Harga'!$C$6+G6*'Daftar Produk &amp; Harga'!$C$7+H6*'Daftar Produk &amp; Harga'!$C$8+I6*'Daftar Produk &amp; Harga'!$C$9+J6*'Daftar Produk &amp; Harga'!$C$10+K6*'Daftar Produk &amp; Harga'!$C$11+L6*'Daftar Produk &amp; Harga'!$C$12+M6*'Daftar Produk &amp; Harga'!$C$13+N6*'Daftar Produk &amp; Harga'!$C$14+O6*'Daftar Produk &amp; Harga'!$C$15+P6*'Daftar Produk &amp; Harga'!$C$16+Q6*'Daftar Produk &amp; Harga'!$C$17+R6*'Daftar Produk &amp; Harga'!$C$18+S6*'Daftar Produk &amp; Harga'!$C$19+T6*'Daftar Produk &amp; Harga'!$C$20+U6*'Daftar Produk &amp; Harga'!$C$21+V6*'Daftar Produk &amp; Harga'!$C$22+W6*'Daftar Produk &amp; Harga'!$C$23+X6*'Daftar Produk &amp; Harga'!$C$24+Y6*'Daftar Produk &amp; Harga'!$C$25+Z6*'Daftar Produk &amp; Harga'!$C$26+AA6*'Daftar Produk &amp; Harga'!$C$27+AB6*'Daftar Produk &amp; Harga'!$C$28+AC6*'Daftar Produk &amp; Harga'!$C$29+AD6*'Daftar Produk &amp; Harga'!$C$30+AE6*'Daftar Produk &amp; Harga'!$C$31+AF6*'Daftar Produk &amp; Harga'!$C$32+AG6*'Daftar Produk &amp; Harga'!$C$33+AH6*'Daftar Produk &amp; Harga'!$C$34</x:f>
        <x:v>45065000</x:v>
      </x:c>
    </x:row>
    <x:row r="7" ht="18" customHeight="1">
      <x:c r="A7" s="178" t="n">
        <x:v>4</x:v>
      </x:c>
      <x:c r="B7" s="179" t="n">
        <x:v>46085</x:v>
      </x:c>
      <x:c r="C7" s="178" t="str">
        <x:v>Rabu</x:v>
      </x:c>
      <x:c r="D7" s="184" t="n">
        <x:v>20</x:v>
      </x:c>
      <x:c r="E7" s="184" t="n">
        <x:v>50</x:v>
      </x:c>
      <x:c r="F7" s="184" t="n">
        <x:v>40</x:v>
      </x:c>
      <x:c r="G7" s="184" t="n">
        <x:v>50</x:v>
      </x:c>
      <x:c r="H7" s="184" t="n">
        <x:v>50</x:v>
      </x:c>
      <x:c r="I7" s="184" t="n">
        <x:v>0</x:v>
      </x:c>
      <x:c r="J7" s="184" t="n">
        <x:v>50</x:v>
      </x:c>
      <x:c r="K7" s="184" t="n">
        <x:v>0</x:v>
      </x:c>
      <x:c r="L7" s="184" t="n">
        <x:v>50</x:v>
      </x:c>
      <x:c r="M7" s="184" t="n">
        <x:v>40</x:v>
      </x:c>
      <x:c r="N7" s="186" t="n">
        <x:v>50</x:v>
      </x:c>
      <x:c r="O7" s="186" t="n">
        <x:v>45</x:v>
      </x:c>
      <x:c r="P7" s="186" t="n">
        <x:v>50</x:v>
      </x:c>
      <x:c r="Q7" s="186" t="n">
        <x:v>55</x:v>
      </x:c>
      <x:c r="R7" s="186" t="n">
        <x:v>35</x:v>
      </x:c>
      <x:c r="S7" s="186" t="n">
        <x:v>50</x:v>
      </x:c>
      <x:c r="T7" s="186" t="n">
        <x:v>50</x:v>
      </x:c>
      <x:c r="U7" s="186" t="n">
        <x:v>50</x:v>
      </x:c>
      <x:c r="V7" s="186" t="n">
        <x:v>45</x:v>
      </x:c>
      <x:c r="W7" s="186" t="n">
        <x:v>35</x:v>
      </x:c>
      <x:c r="X7" s="186" t="n">
        <x:v>45</x:v>
      </x:c>
      <x:c r="Y7" s="186" t="n">
        <x:v>45</x:v>
      </x:c>
      <x:c r="Z7" s="186" t="n">
        <x:v>50</x:v>
      </x:c>
      <x:c r="AA7" s="186" t="n">
        <x:v>55</x:v>
      </x:c>
      <x:c r="AB7" s="186" t="n">
        <x:v>45</x:v>
      </x:c>
      <x:c r="AC7" s="186" t="n">
        <x:v>55</x:v>
      </x:c>
      <x:c r="AD7" s="186" t="n">
        <x:v>40</x:v>
      </x:c>
      <x:c r="AE7" s="186" t="n">
        <x:v>50</x:v>
      </x:c>
      <x:c r="AF7" s="186" t="n">
        <x:v>50</x:v>
      </x:c>
      <x:c r="AG7" s="186" t="n">
        <x:v>45</x:v>
      </x:c>
      <x:c r="AH7" s="186" t="n">
        <x:v>45</x:v>
      </x:c>
      <x:c r="AI7" s="188" t="n">
        <x:f>SUM(D7:AH7)</x:f>
        <x:v>1340</x:v>
      </x:c>
      <x:c r="AJ7" s="196" t="n">
        <x:f>D7*'Daftar Produk &amp; Harga'!$C$4+E7*'Daftar Produk &amp; Harga'!$C$5+F7*'Daftar Produk &amp; Harga'!$C$6+G7*'Daftar Produk &amp; Harga'!$C$7+H7*'Daftar Produk &amp; Harga'!$C$8+I7*'Daftar Produk &amp; Harga'!$C$9+J7*'Daftar Produk &amp; Harga'!$C$10+K7*'Daftar Produk &amp; Harga'!$C$11+L7*'Daftar Produk &amp; Harga'!$C$12+M7*'Daftar Produk &amp; Harga'!$C$13+N7*'Daftar Produk &amp; Harga'!$C$14+O7*'Daftar Produk &amp; Harga'!$C$15+P7*'Daftar Produk &amp; Harga'!$C$16+Q7*'Daftar Produk &amp; Harga'!$C$17+R7*'Daftar Produk &amp; Harga'!$C$18+S7*'Daftar Produk &amp; Harga'!$C$19+T7*'Daftar Produk &amp; Harga'!$C$20+U7*'Daftar Produk &amp; Harga'!$C$21+V7*'Daftar Produk &amp; Harga'!$C$22+W7*'Daftar Produk &amp; Harga'!$C$23+X7*'Daftar Produk &amp; Harga'!$C$24+Y7*'Daftar Produk &amp; Harga'!$C$25+Z7*'Daftar Produk &amp; Harga'!$C$26+AA7*'Daftar Produk &amp; Harga'!$C$27+AB7*'Daftar Produk &amp; Harga'!$C$28+AC7*'Daftar Produk &amp; Harga'!$C$29+AD7*'Daftar Produk &amp; Harga'!$C$30+AE7*'Daftar Produk &amp; Harga'!$C$31+AF7*'Daftar Produk &amp; Harga'!$C$32+AG7*'Daftar Produk &amp; Harga'!$C$33+AH7*'Daftar Produk &amp; Harga'!$C$34</x:f>
        <x:v>43885000</x:v>
      </x:c>
    </x:row>
    <x:row r="8" ht="18" customHeight="1">
      <x:c r="A8" s="178" t="n">
        <x:v>5</x:v>
      </x:c>
      <x:c r="B8" s="179" t="n">
        <x:v>46086</x:v>
      </x:c>
      <x:c r="C8" s="178" t="str">
        <x:v>Kamis</x:v>
      </x:c>
      <x:c r="D8" s="184" t="n">
        <x:v>30</x:v>
      </x:c>
      <x:c r="E8" s="184" t="n">
        <x:v>50</x:v>
      </x:c>
      <x:c r="F8" s="184" t="n">
        <x:v>50</x:v>
      </x:c>
      <x:c r="G8" s="184" t="n">
        <x:v>50</x:v>
      </x:c>
      <x:c r="H8" s="184" t="n">
        <x:v>0</x:v>
      </x:c>
      <x:c r="I8" s="184" t="n">
        <x:v>40</x:v>
      </x:c>
      <x:c r="J8" s="184" t="n">
        <x:v>50</x:v>
      </x:c>
      <x:c r="K8" s="184" t="n">
        <x:v>0</x:v>
      </x:c>
      <x:c r="L8" s="184" t="n">
        <x:v>0</x:v>
      </x:c>
      <x:c r="M8" s="184" t="n">
        <x:v>50</x:v>
      </x:c>
      <x:c r="N8" s="186" t="n">
        <x:v>45</x:v>
      </x:c>
      <x:c r="O8" s="186" t="n">
        <x:v>50</x:v>
      </x:c>
      <x:c r="P8" s="186" t="n">
        <x:v>45</x:v>
      </x:c>
      <x:c r="Q8" s="186" t="n">
        <x:v>50</x:v>
      </x:c>
      <x:c r="R8" s="186" t="n">
        <x:v>35</x:v>
      </x:c>
      <x:c r="S8" s="186" t="n">
        <x:v>45</x:v>
      </x:c>
      <x:c r="T8" s="186" t="n">
        <x:v>50</x:v>
      </x:c>
      <x:c r="U8" s="186" t="n">
        <x:v>40</x:v>
      </x:c>
      <x:c r="V8" s="186" t="n">
        <x:v>45</x:v>
      </x:c>
      <x:c r="W8" s="186" t="n">
        <x:v>40</x:v>
      </x:c>
      <x:c r="X8" s="186" t="n">
        <x:v>45</x:v>
      </x:c>
      <x:c r="Y8" s="186" t="n">
        <x:v>45</x:v>
      </x:c>
      <x:c r="Z8" s="186" t="n">
        <x:v>40</x:v>
      </x:c>
      <x:c r="AA8" s="186" t="n">
        <x:v>45</x:v>
      </x:c>
      <x:c r="AB8" s="186" t="n">
        <x:v>40</x:v>
      </x:c>
      <x:c r="AC8" s="186" t="n">
        <x:v>50</x:v>
      </x:c>
      <x:c r="AD8" s="186" t="n">
        <x:v>50</x:v>
      </x:c>
      <x:c r="AE8" s="186" t="n">
        <x:v>45</x:v>
      </x:c>
      <x:c r="AF8" s="186" t="n">
        <x:v>45</x:v>
      </x:c>
      <x:c r="AG8" s="186" t="n">
        <x:v>55</x:v>
      </x:c>
      <x:c r="AH8" s="186" t="n">
        <x:v>40</x:v>
      </x:c>
      <x:c r="AI8" s="188" t="n">
        <x:f>SUM(D8:AH8)</x:f>
        <x:v>1265</x:v>
      </x:c>
      <x:c r="AJ8" s="196" t="n">
        <x:f>D8*'Daftar Produk &amp; Harga'!$C$4+E8*'Daftar Produk &amp; Harga'!$C$5+F8*'Daftar Produk &amp; Harga'!$C$6+G8*'Daftar Produk &amp; Harga'!$C$7+H8*'Daftar Produk &amp; Harga'!$C$8+I8*'Daftar Produk &amp; Harga'!$C$9+J8*'Daftar Produk &amp; Harga'!$C$10+K8*'Daftar Produk &amp; Harga'!$C$11+L8*'Daftar Produk &amp; Harga'!$C$12+M8*'Daftar Produk &amp; Harga'!$C$13+N8*'Daftar Produk &amp; Harga'!$C$14+O8*'Daftar Produk &amp; Harga'!$C$15+P8*'Daftar Produk &amp; Harga'!$C$16+Q8*'Daftar Produk &amp; Harga'!$C$17+R8*'Daftar Produk &amp; Harga'!$C$18+S8*'Daftar Produk &amp; Harga'!$C$19+T8*'Daftar Produk &amp; Harga'!$C$20+U8*'Daftar Produk &amp; Harga'!$C$21+V8*'Daftar Produk &amp; Harga'!$C$22+W8*'Daftar Produk &amp; Harga'!$C$23+X8*'Daftar Produk &amp; Harga'!$C$24+Y8*'Daftar Produk &amp; Harga'!$C$25+Z8*'Daftar Produk &amp; Harga'!$C$26+AA8*'Daftar Produk &amp; Harga'!$C$27+AB8*'Daftar Produk &amp; Harga'!$C$28+AC8*'Daftar Produk &amp; Harga'!$C$29+AD8*'Daftar Produk &amp; Harga'!$C$30+AE8*'Daftar Produk &amp; Harga'!$C$31+AF8*'Daftar Produk &amp; Harga'!$C$32+AG8*'Daftar Produk &amp; Harga'!$C$33+AH8*'Daftar Produk &amp; Harga'!$C$34</x:f>
        <x:v>40310000</x:v>
      </x:c>
    </x:row>
    <x:row r="9" ht="18" customHeight="1">
      <x:c r="A9" s="178" t="n">
        <x:v>6</x:v>
      </x:c>
      <x:c r="B9" s="179" t="n">
        <x:v>46087</x:v>
      </x:c>
      <x:c r="C9" s="178" t="str">
        <x:v>Jumat</x:v>
      </x:c>
      <x:c r="D9" s="184" t="n">
        <x:v>20</x:v>
      </x:c>
      <x:c r="E9" s="184" t="n">
        <x:v>40</x:v>
      </x:c>
      <x:c r="F9" s="184" t="n">
        <x:v>50</x:v>
      </x:c>
      <x:c r="G9" s="184" t="n">
        <x:v>0</x:v>
      </x:c>
      <x:c r="H9" s="184" t="n">
        <x:v>0</x:v>
      </x:c>
      <x:c r="I9" s="184" t="n">
        <x:v>40</x:v>
      </x:c>
      <x:c r="J9" s="184" t="n">
        <x:v>0</x:v>
      </x:c>
      <x:c r="K9" s="184" t="n">
        <x:v>40</x:v>
      </x:c>
      <x:c r="L9" s="184" t="n">
        <x:v>0</x:v>
      </x:c>
      <x:c r="M9" s="184" t="n">
        <x:v>0</x:v>
      </x:c>
      <x:c r="N9" s="186" t="n">
        <x:v>45</x:v>
      </x:c>
      <x:c r="O9" s="186" t="n">
        <x:v>45</x:v>
      </x:c>
      <x:c r="P9" s="186" t="n">
        <x:v>35</x:v>
      </x:c>
      <x:c r="Q9" s="186" t="n">
        <x:v>55</x:v>
      </x:c>
      <x:c r="R9" s="186" t="n">
        <x:v>45</x:v>
      </x:c>
      <x:c r="S9" s="186" t="n">
        <x:v>45</x:v>
      </x:c>
      <x:c r="T9" s="186" t="n">
        <x:v>50</x:v>
      </x:c>
      <x:c r="U9" s="186" t="n">
        <x:v>55</x:v>
      </x:c>
      <x:c r="V9" s="186" t="n">
        <x:v>55</x:v>
      </x:c>
      <x:c r="W9" s="186" t="n">
        <x:v>40</x:v>
      </x:c>
      <x:c r="X9" s="186" t="n">
        <x:v>40</x:v>
      </x:c>
      <x:c r="Y9" s="186" t="n">
        <x:v>35</x:v>
      </x:c>
      <x:c r="Z9" s="186" t="n">
        <x:v>45</x:v>
      </x:c>
      <x:c r="AA9" s="186" t="n">
        <x:v>45</x:v>
      </x:c>
      <x:c r="AB9" s="186" t="n">
        <x:v>40</x:v>
      </x:c>
      <x:c r="AC9" s="186" t="n">
        <x:v>50</x:v>
      </x:c>
      <x:c r="AD9" s="186" t="n">
        <x:v>50</x:v>
      </x:c>
      <x:c r="AE9" s="186" t="n">
        <x:v>40</x:v>
      </x:c>
      <x:c r="AF9" s="186" t="n">
        <x:v>50</x:v>
      </x:c>
      <x:c r="AG9" s="186" t="n">
        <x:v>50</x:v>
      </x:c>
      <x:c r="AH9" s="186" t="n">
        <x:v>45</x:v>
      </x:c>
      <x:c r="AI9" s="188" t="n">
        <x:f>SUM(D9:AH9)</x:f>
        <x:v>1150</x:v>
      </x:c>
      <x:c r="AJ9" s="196" t="n">
        <x:f>D9*'Daftar Produk &amp; Harga'!$C$4+E9*'Daftar Produk &amp; Harga'!$C$5+F9*'Daftar Produk &amp; Harga'!$C$6+G9*'Daftar Produk &amp; Harga'!$C$7+H9*'Daftar Produk &amp; Harga'!$C$8+I9*'Daftar Produk &amp; Harga'!$C$9+J9*'Daftar Produk &amp; Harga'!$C$10+K9*'Daftar Produk &amp; Harga'!$C$11+L9*'Daftar Produk &amp; Harga'!$C$12+M9*'Daftar Produk &amp; Harga'!$C$13+N9*'Daftar Produk &amp; Harga'!$C$14+O9*'Daftar Produk &amp; Harga'!$C$15+P9*'Daftar Produk &amp; Harga'!$C$16+Q9*'Daftar Produk &amp; Harga'!$C$17+R9*'Daftar Produk &amp; Harga'!$C$18+S9*'Daftar Produk &amp; Harga'!$C$19+T9*'Daftar Produk &amp; Harga'!$C$20+U9*'Daftar Produk &amp; Harga'!$C$21+V9*'Daftar Produk &amp; Harga'!$C$22+W9*'Daftar Produk &amp; Harga'!$C$23+X9*'Daftar Produk &amp; Harga'!$C$24+Y9*'Daftar Produk &amp; Harga'!$C$25+Z9*'Daftar Produk &amp; Harga'!$C$26+AA9*'Daftar Produk &amp; Harga'!$C$27+AB9*'Daftar Produk &amp; Harga'!$C$28+AC9*'Daftar Produk &amp; Harga'!$C$29+AD9*'Daftar Produk &amp; Harga'!$C$30+AE9*'Daftar Produk &amp; Harga'!$C$31+AF9*'Daftar Produk &amp; Harga'!$C$32+AG9*'Daftar Produk &amp; Harga'!$C$33+AH9*'Daftar Produk &amp; Harga'!$C$34</x:f>
        <x:v>36750000</x:v>
      </x:c>
    </x:row>
    <x:row r="10" ht="18" customHeight="1">
      <x:c r="A10" s="178" t="n">
        <x:v>7</x:v>
      </x:c>
      <x:c r="B10" s="179" t="n">
        <x:v>46088</x:v>
      </x:c>
      <x:c r="C10" s="178" t="str">
        <x:v>Sabtu</x:v>
      </x:c>
      <x:c r="D10" s="184" t="n">
        <x:v>30</x:v>
      </x:c>
      <x:c r="E10" s="184" t="n">
        <x:v>50</x:v>
      </x:c>
      <x:c r="F10" s="184" t="n">
        <x:v>50</x:v>
      </x:c>
      <x:c r="G10" s="184" t="n">
        <x:v>0</x:v>
      </x:c>
      <x:c r="H10" s="184" t="n">
        <x:v>0</x:v>
      </x:c>
      <x:c r="I10" s="184" t="n">
        <x:v>50</x:v>
      </x:c>
      <x:c r="J10" s="184" t="n">
        <x:v>0</x:v>
      </x:c>
      <x:c r="K10" s="184" t="n">
        <x:v>40</x:v>
      </x:c>
      <x:c r="L10" s="184" t="n">
        <x:v>0</x:v>
      </x:c>
      <x:c r="M10" s="184" t="n">
        <x:v>0</x:v>
      </x:c>
      <x:c r="N10" s="186" t="n">
        <x:v>60</x:v>
      </x:c>
      <x:c r="O10" s="186" t="n">
        <x:v>55</x:v>
      </x:c>
      <x:c r="P10" s="186" t="n">
        <x:v>55</x:v>
      </x:c>
      <x:c r="Q10" s="186" t="n">
        <x:v>40</x:v>
      </x:c>
      <x:c r="R10" s="186" t="n">
        <x:v>40</x:v>
      </x:c>
      <x:c r="S10" s="186" t="n">
        <x:v>50</x:v>
      </x:c>
      <x:c r="T10" s="186" t="n">
        <x:v>60</x:v>
      </x:c>
      <x:c r="U10" s="186" t="n">
        <x:v>50</x:v>
      </x:c>
      <x:c r="V10" s="186" t="n">
        <x:v>45</x:v>
      </x:c>
      <x:c r="W10" s="186" t="n">
        <x:v>55</x:v>
      </x:c>
      <x:c r="X10" s="186" t="n">
        <x:v>60</x:v>
      </x:c>
      <x:c r="Y10" s="186" t="n">
        <x:v>55</x:v>
      </x:c>
      <x:c r="Z10" s="186" t="n">
        <x:v>50</x:v>
      </x:c>
      <x:c r="AA10" s="186" t="n">
        <x:v>50</x:v>
      </x:c>
      <x:c r="AB10" s="186" t="n">
        <x:v>45</x:v>
      </x:c>
      <x:c r="AC10" s="186" t="n">
        <x:v>60</x:v>
      </x:c>
      <x:c r="AD10" s="186" t="n">
        <x:v>45</x:v>
      </x:c>
      <x:c r="AE10" s="186" t="n">
        <x:v>50</x:v>
      </x:c>
      <x:c r="AF10" s="186" t="n">
        <x:v>55</x:v>
      </x:c>
      <x:c r="AG10" s="186" t="n">
        <x:v>55</x:v>
      </x:c>
      <x:c r="AH10" s="186" t="n">
        <x:v>55</x:v>
      </x:c>
      <x:c r="AI10" s="188" t="n">
        <x:f>SUM(D10:AH10)</x:f>
        <x:v>1310</x:v>
      </x:c>
      <x:c r="AJ10" s="196" t="n">
        <x:f>D10*'Daftar Produk &amp; Harga'!$C$4+E10*'Daftar Produk &amp; Harga'!$C$5+F10*'Daftar Produk &amp; Harga'!$C$6+G10*'Daftar Produk &amp; Harga'!$C$7+H10*'Daftar Produk &amp; Harga'!$C$8+I10*'Daftar Produk &amp; Harga'!$C$9+J10*'Daftar Produk &amp; Harga'!$C$10+K10*'Daftar Produk &amp; Harga'!$C$11+L10*'Daftar Produk &amp; Harga'!$C$12+M10*'Daftar Produk &amp; Harga'!$C$13+N10*'Daftar Produk &amp; Harga'!$C$14+O10*'Daftar Produk &amp; Harga'!$C$15+P10*'Daftar Produk &amp; Harga'!$C$16+Q10*'Daftar Produk &amp; Harga'!$C$17+R10*'Daftar Produk &amp; Harga'!$C$18+S10*'Daftar Produk &amp; Harga'!$C$19+T10*'Daftar Produk &amp; Harga'!$C$20+U10*'Daftar Produk &amp; Harga'!$C$21+V10*'Daftar Produk &amp; Harga'!$C$22+W10*'Daftar Produk &amp; Harga'!$C$23+X10*'Daftar Produk &amp; Harga'!$C$24+Y10*'Daftar Produk &amp; Harga'!$C$25+Z10*'Daftar Produk &amp; Harga'!$C$26+AA10*'Daftar Produk &amp; Harga'!$C$27+AB10*'Daftar Produk &amp; Harga'!$C$28+AC10*'Daftar Produk &amp; Harga'!$C$29+AD10*'Daftar Produk &amp; Harga'!$C$30+AE10*'Daftar Produk &amp; Harga'!$C$31+AF10*'Daftar Produk &amp; Harga'!$C$32+AG10*'Daftar Produk &amp; Harga'!$C$33+AH10*'Daftar Produk &amp; Harga'!$C$34</x:f>
        <x:v>42585000</x:v>
      </x:c>
    </x:row>
    <x:row r="11" ht="18" customHeight="1">
      <x:c r="A11" s="178" t="n">
        <x:v>8</x:v>
      </x:c>
      <x:c r="B11" s="179" t="n">
        <x:v>46089</x:v>
      </x:c>
      <x:c r="C11" s="178" t="str">
        <x:v>Minggu</x:v>
      </x:c>
      <x:c r="D11" s="184" t="n">
        <x:v>30</x:v>
      </x:c>
      <x:c r="E11" s="184" t="n">
        <x:v>50</x:v>
      </x:c>
      <x:c r="F11" s="184" t="n">
        <x:v>0</x:v>
      </x:c>
      <x:c r="G11" s="184" t="n">
        <x:v>40</x:v>
      </x:c>
      <x:c r="H11" s="184" t="n">
        <x:v>0</x:v>
      </x:c>
      <x:c r="I11" s="184" t="n">
        <x:v>50</x:v>
      </x:c>
      <x:c r="J11" s="184" t="n">
        <x:v>0</x:v>
      </x:c>
      <x:c r="K11" s="184" t="n">
        <x:v>40</x:v>
      </x:c>
      <x:c r="L11" s="184" t="n">
        <x:v>0</x:v>
      </x:c>
      <x:c r="M11" s="184" t="n">
        <x:v>0</x:v>
      </x:c>
      <x:c r="N11" s="186" t="n">
        <x:v>40</x:v>
      </x:c>
      <x:c r="O11" s="186" t="n">
        <x:v>50</x:v>
      </x:c>
      <x:c r="P11" s="186" t="n">
        <x:v>55</x:v>
      </x:c>
      <x:c r="Q11" s="186" t="n">
        <x:v>50</x:v>
      </x:c>
      <x:c r="R11" s="186" t="n">
        <x:v>50</x:v>
      </x:c>
      <x:c r="S11" s="186" t="n">
        <x:v>60</x:v>
      </x:c>
      <x:c r="T11" s="186" t="n">
        <x:v>55</x:v>
      </x:c>
      <x:c r="U11" s="186" t="n">
        <x:v>50</x:v>
      </x:c>
      <x:c r="V11" s="186" t="n">
        <x:v>55</x:v>
      </x:c>
      <x:c r="W11" s="186" t="n">
        <x:v>55</x:v>
      </x:c>
      <x:c r="X11" s="186" t="n">
        <x:v>50</x:v>
      </x:c>
      <x:c r="Y11" s="186" t="n">
        <x:v>45</x:v>
      </x:c>
      <x:c r="Z11" s="186" t="n">
        <x:v>55</x:v>
      </x:c>
      <x:c r="AA11" s="186" t="n">
        <x:v>65</x:v>
      </x:c>
      <x:c r="AB11" s="186" t="n">
        <x:v>50</x:v>
      </x:c>
      <x:c r="AC11" s="186" t="n">
        <x:v>55</x:v>
      </x:c>
      <x:c r="AD11" s="186" t="n">
        <x:v>50</x:v>
      </x:c>
      <x:c r="AE11" s="186" t="n">
        <x:v>60</x:v>
      </x:c>
      <x:c r="AF11" s="186" t="n">
        <x:v>50</x:v>
      </x:c>
      <x:c r="AG11" s="186" t="n">
        <x:v>55</x:v>
      </x:c>
      <x:c r="AH11" s="186" t="n">
        <x:v>55</x:v>
      </x:c>
      <x:c r="AI11" s="188" t="n">
        <x:f>SUM(D11:AH11)</x:f>
        <x:v>1320</x:v>
      </x:c>
      <x:c r="AJ11" s="196" t="n">
        <x:f>D11*'Daftar Produk &amp; Harga'!$C$4+E11*'Daftar Produk &amp; Harga'!$C$5+F11*'Daftar Produk &amp; Harga'!$C$6+G11*'Daftar Produk &amp; Harga'!$C$7+H11*'Daftar Produk &amp; Harga'!$C$8+I11*'Daftar Produk &amp; Harga'!$C$9+J11*'Daftar Produk &amp; Harga'!$C$10+K11*'Daftar Produk &amp; Harga'!$C$11+L11*'Daftar Produk &amp; Harga'!$C$12+M11*'Daftar Produk &amp; Harga'!$C$13+N11*'Daftar Produk &amp; Harga'!$C$14+O11*'Daftar Produk &amp; Harga'!$C$15+P11*'Daftar Produk &amp; Harga'!$C$16+Q11*'Daftar Produk &amp; Harga'!$C$17+R11*'Daftar Produk &amp; Harga'!$C$18+S11*'Daftar Produk &amp; Harga'!$C$19+T11*'Daftar Produk &amp; Harga'!$C$20+U11*'Daftar Produk &amp; Harga'!$C$21+V11*'Daftar Produk &amp; Harga'!$C$22+W11*'Daftar Produk &amp; Harga'!$C$23+X11*'Daftar Produk &amp; Harga'!$C$24+Y11*'Daftar Produk &amp; Harga'!$C$25+Z11*'Daftar Produk &amp; Harga'!$C$26+AA11*'Daftar Produk &amp; Harga'!$C$27+AB11*'Daftar Produk &amp; Harga'!$C$28+AC11*'Daftar Produk &amp; Harga'!$C$29+AD11*'Daftar Produk &amp; Harga'!$C$30+AE11*'Daftar Produk &amp; Harga'!$C$31+AF11*'Daftar Produk &amp; Harga'!$C$32+AG11*'Daftar Produk &amp; Harga'!$C$33+AH11*'Daftar Produk &amp; Harga'!$C$34</x:f>
        <x:v>43640000</x:v>
      </x:c>
    </x:row>
    <x:row r="12" ht="18" customHeight="1">
      <x:c r="A12" s="178" t="n">
        <x:v>9</x:v>
      </x:c>
      <x:c r="B12" s="179" t="n">
        <x:v>46090</x:v>
      </x:c>
      <x:c r="C12" s="178" t="str">
        <x:v>Senin</x:v>
      </x:c>
      <x:c r="D12" s="184" t="n">
        <x:v>30</x:v>
      </x:c>
      <x:c r="E12" s="184" t="n">
        <x:v>50</x:v>
      </x:c>
      <x:c r="F12" s="184" t="n">
        <x:v>0</x:v>
      </x:c>
      <x:c r="G12" s="184" t="n">
        <x:v>40</x:v>
      </x:c>
      <x:c r="H12" s="184" t="n">
        <x:v>0</x:v>
      </x:c>
      <x:c r="I12" s="184" t="n">
        <x:v>0</x:v>
      </x:c>
      <x:c r="J12" s="184" t="n">
        <x:v>0</x:v>
      </x:c>
      <x:c r="K12" s="184" t="n">
        <x:v>50</x:v>
      </x:c>
      <x:c r="L12" s="184" t="n">
        <x:v>0</x:v>
      </x:c>
      <x:c r="M12" s="184" t="n">
        <x:v>60</x:v>
      </x:c>
      <x:c r="N12" s="186" t="n">
        <x:v>50</x:v>
      </x:c>
      <x:c r="O12" s="186" t="n">
        <x:v>45</x:v>
      </x:c>
      <x:c r="P12" s="186" t="n">
        <x:v>45</x:v>
      </x:c>
      <x:c r="Q12" s="186" t="n">
        <x:v>45</x:v>
      </x:c>
      <x:c r="R12" s="186" t="n">
        <x:v>40</x:v>
      </x:c>
      <x:c r="S12" s="186" t="n">
        <x:v>40</x:v>
      </x:c>
      <x:c r="T12" s="186" t="n">
        <x:v>35</x:v>
      </x:c>
      <x:c r="U12" s="186" t="n">
        <x:v>40</x:v>
      </x:c>
      <x:c r="V12" s="186" t="n">
        <x:v>50</x:v>
      </x:c>
      <x:c r="W12" s="186" t="n">
        <x:v>45</x:v>
      </x:c>
      <x:c r="X12" s="186" t="n">
        <x:v>35</x:v>
      </x:c>
      <x:c r="Y12" s="186" t="n">
        <x:v>50</x:v>
      </x:c>
      <x:c r="Z12" s="186" t="n">
        <x:v>45</x:v>
      </x:c>
      <x:c r="AA12" s="186" t="n">
        <x:v>35</x:v>
      </x:c>
      <x:c r="AB12" s="186" t="n">
        <x:v>50</x:v>
      </x:c>
      <x:c r="AC12" s="186" t="n">
        <x:v>50</x:v>
      </x:c>
      <x:c r="AD12" s="186" t="n">
        <x:v>45</x:v>
      </x:c>
      <x:c r="AE12" s="186" t="n">
        <x:v>55</x:v>
      </x:c>
      <x:c r="AF12" s="186" t="n">
        <x:v>45</x:v>
      </x:c>
      <x:c r="AG12" s="186" t="n">
        <x:v>40</x:v>
      </x:c>
      <x:c r="AH12" s="186" t="n">
        <x:v>35</x:v>
      </x:c>
      <x:c r="AI12" s="188" t="n">
        <x:f>SUM(D12:AH12)</x:f>
        <x:v>1150</x:v>
      </x:c>
      <x:c r="AJ12" s="196" t="n">
        <x:f>D12*'Daftar Produk &amp; Harga'!$C$4+E12*'Daftar Produk &amp; Harga'!$C$5+F12*'Daftar Produk &amp; Harga'!$C$6+G12*'Daftar Produk &amp; Harga'!$C$7+H12*'Daftar Produk &amp; Harga'!$C$8+I12*'Daftar Produk &amp; Harga'!$C$9+J12*'Daftar Produk &amp; Harga'!$C$10+K12*'Daftar Produk &amp; Harga'!$C$11+L12*'Daftar Produk &amp; Harga'!$C$12+M12*'Daftar Produk &amp; Harga'!$C$13+N12*'Daftar Produk &amp; Harga'!$C$14+O12*'Daftar Produk &amp; Harga'!$C$15+P12*'Daftar Produk &amp; Harga'!$C$16+Q12*'Daftar Produk &amp; Harga'!$C$17+R12*'Daftar Produk &amp; Harga'!$C$18+S12*'Daftar Produk &amp; Harga'!$C$19+T12*'Daftar Produk &amp; Harga'!$C$20+U12*'Daftar Produk &amp; Harga'!$C$21+V12*'Daftar Produk &amp; Harga'!$C$22+W12*'Daftar Produk &amp; Harga'!$C$23+X12*'Daftar Produk &amp; Harga'!$C$24+Y12*'Daftar Produk &amp; Harga'!$C$25+Z12*'Daftar Produk &amp; Harga'!$C$26+AA12*'Daftar Produk &amp; Harga'!$C$27+AB12*'Daftar Produk &amp; Harga'!$C$28+AC12*'Daftar Produk &amp; Harga'!$C$29+AD12*'Daftar Produk &amp; Harga'!$C$30+AE12*'Daftar Produk &amp; Harga'!$C$31+AF12*'Daftar Produk &amp; Harga'!$C$32+AG12*'Daftar Produk &amp; Harga'!$C$33+AH12*'Daftar Produk &amp; Harga'!$C$34</x:f>
        <x:v>39275000</x:v>
      </x:c>
    </x:row>
    <x:row r="13" ht="18" customHeight="1">
      <x:c r="A13" s="178" t="n">
        <x:v>10</x:v>
      </x:c>
      <x:c r="B13" s="179" t="n">
        <x:v>46091</x:v>
      </x:c>
      <x:c r="C13" s="178" t="str">
        <x:v>Selasa</x:v>
      </x:c>
      <x:c r="D13" s="184" t="n">
        <x:v>30</x:v>
      </x:c>
      <x:c r="E13" s="184" t="n">
        <x:v>50</x:v>
      </x:c>
      <x:c r="F13" s="184" t="n">
        <x:v>50</x:v>
      </x:c>
      <x:c r="G13" s="184" t="n">
        <x:v>40</x:v>
      </x:c>
      <x:c r="H13" s="184" t="n">
        <x:v>50</x:v>
      </x:c>
      <x:c r="I13" s="184" t="n">
        <x:v>0</x:v>
      </x:c>
      <x:c r="J13" s="184" t="n">
        <x:v>50</x:v>
      </x:c>
      <x:c r="K13" s="184" t="n">
        <x:v>0</x:v>
      </x:c>
      <x:c r="L13" s="184" t="n">
        <x:v>50</x:v>
      </x:c>
      <x:c r="M13" s="184" t="n">
        <x:v>60</x:v>
      </x:c>
      <x:c r="N13" s="186" t="n">
        <x:v>55</x:v>
      </x:c>
      <x:c r="O13" s="186" t="n">
        <x:v>45</x:v>
      </x:c>
      <x:c r="P13" s="186" t="n">
        <x:v>50</x:v>
      </x:c>
      <x:c r="Q13" s="186" t="n">
        <x:v>50</x:v>
      </x:c>
      <x:c r="R13" s="186" t="n">
        <x:v>40</x:v>
      </x:c>
      <x:c r="S13" s="186" t="n">
        <x:v>45</x:v>
      </x:c>
      <x:c r="T13" s="186" t="n">
        <x:v>45</x:v>
      </x:c>
      <x:c r="U13" s="186" t="n">
        <x:v>40</x:v>
      </x:c>
      <x:c r="V13" s="186" t="n">
        <x:v>55</x:v>
      </x:c>
      <x:c r="W13" s="186" t="n">
        <x:v>50</x:v>
      </x:c>
      <x:c r="X13" s="186" t="n">
        <x:v>40</x:v>
      </x:c>
      <x:c r="Y13" s="186" t="n">
        <x:v>45</x:v>
      </x:c>
      <x:c r="Z13" s="186" t="n">
        <x:v>50</x:v>
      </x:c>
      <x:c r="AA13" s="186" t="n">
        <x:v>45</x:v>
      </x:c>
      <x:c r="AB13" s="186" t="n">
        <x:v>50</x:v>
      </x:c>
      <x:c r="AC13" s="186" t="n">
        <x:v>45</x:v>
      </x:c>
      <x:c r="AD13" s="186" t="n">
        <x:v>55</x:v>
      </x:c>
      <x:c r="AE13" s="186" t="n">
        <x:v>45</x:v>
      </x:c>
      <x:c r="AF13" s="186" t="n">
        <x:v>45</x:v>
      </x:c>
      <x:c r="AG13" s="186" t="n">
        <x:v>35</x:v>
      </x:c>
      <x:c r="AH13" s="186" t="n">
        <x:v>40</x:v>
      </x:c>
      <x:c r="AI13" s="188" t="n">
        <x:f>SUM(D13:AH13)</x:f>
        <x:v>1350</x:v>
      </x:c>
      <x:c r="AJ13" s="196" t="n">
        <x:f>D13*'Daftar Produk &amp; Harga'!$C$4+E13*'Daftar Produk &amp; Harga'!$C$5+F13*'Daftar Produk &amp; Harga'!$C$6+G13*'Daftar Produk &amp; Harga'!$C$7+H13*'Daftar Produk &amp; Harga'!$C$8+I13*'Daftar Produk &amp; Harga'!$C$9+J13*'Daftar Produk &amp; Harga'!$C$10+K13*'Daftar Produk &amp; Harga'!$C$11+L13*'Daftar Produk &amp; Harga'!$C$12+M13*'Daftar Produk &amp; Harga'!$C$13+N13*'Daftar Produk &amp; Harga'!$C$14+O13*'Daftar Produk &amp; Harga'!$C$15+P13*'Daftar Produk &amp; Harga'!$C$16+Q13*'Daftar Produk &amp; Harga'!$C$17+R13*'Daftar Produk &amp; Harga'!$C$18+S13*'Daftar Produk &amp; Harga'!$C$19+T13*'Daftar Produk &amp; Harga'!$C$20+U13*'Daftar Produk &amp; Harga'!$C$21+V13*'Daftar Produk &amp; Harga'!$C$22+W13*'Daftar Produk &amp; Harga'!$C$23+X13*'Daftar Produk &amp; Harga'!$C$24+Y13*'Daftar Produk &amp; Harga'!$C$25+Z13*'Daftar Produk &amp; Harga'!$C$26+AA13*'Daftar Produk &amp; Harga'!$C$27+AB13*'Daftar Produk &amp; Harga'!$C$28+AC13*'Daftar Produk &amp; Harga'!$C$29+AD13*'Daftar Produk &amp; Harga'!$C$30+AE13*'Daftar Produk &amp; Harga'!$C$31+AF13*'Daftar Produk &amp; Harga'!$C$32+AG13*'Daftar Produk &amp; Harga'!$C$33+AH13*'Daftar Produk &amp; Harga'!$C$34</x:f>
        <x:v>44520000</x:v>
      </x:c>
    </x:row>
    <x:row r="14" ht="18" customHeight="1">
      <x:c r="A14" s="178" t="n">
        <x:v>11</x:v>
      </x:c>
      <x:c r="B14" s="179" t="n">
        <x:v>46092</x:v>
      </x:c>
      <x:c r="C14" s="178" t="str">
        <x:v>Rabu</x:v>
      </x:c>
      <x:c r="D14" s="184" t="n">
        <x:v>30</x:v>
      </x:c>
      <x:c r="E14" s="184" t="n">
        <x:v>50</x:v>
      </x:c>
      <x:c r="F14" s="184" t="n">
        <x:v>50</x:v>
      </x:c>
      <x:c r="G14" s="184" t="n">
        <x:v>40</x:v>
      </x:c>
      <x:c r="H14" s="184" t="n">
        <x:v>50</x:v>
      </x:c>
      <x:c r="I14" s="184" t="n">
        <x:v>0</x:v>
      </x:c>
      <x:c r="J14" s="184" t="n">
        <x:v>50</x:v>
      </x:c>
      <x:c r="K14" s="184" t="n">
        <x:v>0</x:v>
      </x:c>
      <x:c r="L14" s="184" t="n">
        <x:v>50</x:v>
      </x:c>
      <x:c r="M14" s="184" t="n">
        <x:v>70</x:v>
      </x:c>
      <x:c r="N14" s="186" t="n">
        <x:v>55</x:v>
      </x:c>
      <x:c r="O14" s="186" t="n">
        <x:v>45</x:v>
      </x:c>
      <x:c r="P14" s="186" t="n">
        <x:v>35</x:v>
      </x:c>
      <x:c r="Q14" s="186" t="n">
        <x:v>45</x:v>
      </x:c>
      <x:c r="R14" s="186" t="n">
        <x:v>40</x:v>
      </x:c>
      <x:c r="S14" s="186" t="n">
        <x:v>55</x:v>
      </x:c>
      <x:c r="T14" s="186" t="n">
        <x:v>40</x:v>
      </x:c>
      <x:c r="U14" s="186" t="n">
        <x:v>45</x:v>
      </x:c>
      <x:c r="V14" s="186" t="n">
        <x:v>40</x:v>
      </x:c>
      <x:c r="W14" s="186" t="n">
        <x:v>35</x:v>
      </x:c>
      <x:c r="X14" s="186" t="n">
        <x:v>45</x:v>
      </x:c>
      <x:c r="Y14" s="186" t="n">
        <x:v>45</x:v>
      </x:c>
      <x:c r="Z14" s="186" t="n">
        <x:v>45</x:v>
      </x:c>
      <x:c r="AA14" s="186" t="n">
        <x:v>50</x:v>
      </x:c>
      <x:c r="AB14" s="186" t="n">
        <x:v>45</x:v>
      </x:c>
      <x:c r="AC14" s="186" t="n">
        <x:v>35</x:v>
      </x:c>
      <x:c r="AD14" s="186" t="n">
        <x:v>50</x:v>
      </x:c>
      <x:c r="AE14" s="186" t="n">
        <x:v>45</x:v>
      </x:c>
      <x:c r="AF14" s="186" t="n">
        <x:v>50</x:v>
      </x:c>
      <x:c r="AG14" s="186" t="n">
        <x:v>45</x:v>
      </x:c>
      <x:c r="AH14" s="186" t="n">
        <x:v>40</x:v>
      </x:c>
      <x:c r="AI14" s="188" t="n">
        <x:f>SUM(D14:AH14)</x:f>
        <x:v>1320</x:v>
      </x:c>
      <x:c r="AJ14" s="196" t="n">
        <x:f>D14*'Daftar Produk &amp; Harga'!$C$4+E14*'Daftar Produk &amp; Harga'!$C$5+F14*'Daftar Produk &amp; Harga'!$C$6+G14*'Daftar Produk &amp; Harga'!$C$7+H14*'Daftar Produk &amp; Harga'!$C$8+I14*'Daftar Produk &amp; Harga'!$C$9+J14*'Daftar Produk &amp; Harga'!$C$10+K14*'Daftar Produk &amp; Harga'!$C$11+L14*'Daftar Produk &amp; Harga'!$C$12+M14*'Daftar Produk &amp; Harga'!$C$13+N14*'Daftar Produk &amp; Harga'!$C$14+O14*'Daftar Produk &amp; Harga'!$C$15+P14*'Daftar Produk &amp; Harga'!$C$16+Q14*'Daftar Produk &amp; Harga'!$C$17+R14*'Daftar Produk &amp; Harga'!$C$18+S14*'Daftar Produk &amp; Harga'!$C$19+T14*'Daftar Produk &amp; Harga'!$C$20+U14*'Daftar Produk &amp; Harga'!$C$21+V14*'Daftar Produk &amp; Harga'!$C$22+W14*'Daftar Produk &amp; Harga'!$C$23+X14*'Daftar Produk &amp; Harga'!$C$24+Y14*'Daftar Produk &amp; Harga'!$C$25+Z14*'Daftar Produk &amp; Harga'!$C$26+AA14*'Daftar Produk &amp; Harga'!$C$27+AB14*'Daftar Produk &amp; Harga'!$C$28+AC14*'Daftar Produk &amp; Harga'!$C$29+AD14*'Daftar Produk &amp; Harga'!$C$30+AE14*'Daftar Produk &amp; Harga'!$C$31+AF14*'Daftar Produk &amp; Harga'!$C$32+AG14*'Daftar Produk &amp; Harga'!$C$33+AH14*'Daftar Produk &amp; Harga'!$C$34</x:f>
        <x:v>42920000</x:v>
      </x:c>
    </x:row>
    <x:row r="15" ht="18" customHeight="1">
      <x:c r="A15" s="178" t="n">
        <x:v>12</x:v>
      </x:c>
      <x:c r="B15" s="179" t="n">
        <x:v>46093</x:v>
      </x:c>
      <x:c r="C15" s="178" t="str">
        <x:v>Kamis</x:v>
      </x:c>
      <x:c r="D15" s="184" t="n">
        <x:v>60</x:v>
      </x:c>
      <x:c r="E15" s="184" t="n">
        <x:v>50</x:v>
      </x:c>
      <x:c r="F15" s="184" t="n">
        <x:v>50</x:v>
      </x:c>
      <x:c r="G15" s="184" t="n">
        <x:v>50</x:v>
      </x:c>
      <x:c r="H15" s="184" t="n">
        <x:v>50</x:v>
      </x:c>
      <x:c r="I15" s="184" t="n">
        <x:v>0</x:v>
      </x:c>
      <x:c r="J15" s="184" t="n">
        <x:v>50</x:v>
      </x:c>
      <x:c r="K15" s="184" t="n">
        <x:v>70</x:v>
      </x:c>
      <x:c r="L15" s="184" t="n">
        <x:v>50</x:v>
      </x:c>
      <x:c r="M15" s="184" t="n">
        <x:v>70</x:v>
      </x:c>
      <x:c r="N15" s="186" t="n">
        <x:v>50</x:v>
      </x:c>
      <x:c r="O15" s="186" t="n">
        <x:v>45</x:v>
      </x:c>
      <x:c r="P15" s="186" t="n">
        <x:v>40</x:v>
      </x:c>
      <x:c r="Q15" s="186" t="n">
        <x:v>45</x:v>
      </x:c>
      <x:c r="R15" s="186" t="n">
        <x:v>45</x:v>
      </x:c>
      <x:c r="S15" s="186" t="n">
        <x:v>50</x:v>
      </x:c>
      <x:c r="T15" s="186" t="n">
        <x:v>50</x:v>
      </x:c>
      <x:c r="U15" s="186" t="n">
        <x:v>45</x:v>
      </x:c>
      <x:c r="V15" s="186" t="n">
        <x:v>50</x:v>
      </x:c>
      <x:c r="W15" s="186" t="n">
        <x:v>45</x:v>
      </x:c>
      <x:c r="X15" s="186" t="n">
        <x:v>40</x:v>
      </x:c>
      <x:c r="Y15" s="186" t="n">
        <x:v>45</x:v>
      </x:c>
      <x:c r="Z15" s="186" t="n">
        <x:v>45</x:v>
      </x:c>
      <x:c r="AA15" s="186" t="n">
        <x:v>50</x:v>
      </x:c>
      <x:c r="AB15" s="186" t="n">
        <x:v>45</x:v>
      </x:c>
      <x:c r="AC15" s="186" t="n">
        <x:v>35</x:v>
      </x:c>
      <x:c r="AD15" s="186" t="n">
        <x:v>45</x:v>
      </x:c>
      <x:c r="AE15" s="186" t="n">
        <x:v>40</x:v>
      </x:c>
      <x:c r="AF15" s="186" t="n">
        <x:v>45</x:v>
      </x:c>
      <x:c r="AG15" s="186" t="n">
        <x:v>50</x:v>
      </x:c>
      <x:c r="AH15" s="186" t="n">
        <x:v>45</x:v>
      </x:c>
      <x:c r="AI15" s="188" t="n">
        <x:f>SUM(D15:AH15)</x:f>
        <x:v>1450</x:v>
      </x:c>
      <x:c r="AJ15" s="196" t="n">
        <x:f>D15*'Daftar Produk &amp; Harga'!$C$4+E15*'Daftar Produk &amp; Harga'!$C$5+F15*'Daftar Produk &amp; Harga'!$C$6+G15*'Daftar Produk &amp; Harga'!$C$7+H15*'Daftar Produk &amp; Harga'!$C$8+I15*'Daftar Produk &amp; Harga'!$C$9+J15*'Daftar Produk &amp; Harga'!$C$10+K15*'Daftar Produk &amp; Harga'!$C$11+L15*'Daftar Produk &amp; Harga'!$C$12+M15*'Daftar Produk &amp; Harga'!$C$13+N15*'Daftar Produk &amp; Harga'!$C$14+O15*'Daftar Produk &amp; Harga'!$C$15+P15*'Daftar Produk &amp; Harga'!$C$16+Q15*'Daftar Produk &amp; Harga'!$C$17+R15*'Daftar Produk &amp; Harga'!$C$18+S15*'Daftar Produk &amp; Harga'!$C$19+T15*'Daftar Produk &amp; Harga'!$C$20+U15*'Daftar Produk &amp; Harga'!$C$21+V15*'Daftar Produk &amp; Harga'!$C$22+W15*'Daftar Produk &amp; Harga'!$C$23+X15*'Daftar Produk &amp; Harga'!$C$24+Y15*'Daftar Produk &amp; Harga'!$C$25+Z15*'Daftar Produk &amp; Harga'!$C$26+AA15*'Daftar Produk &amp; Harga'!$C$27+AB15*'Daftar Produk &amp; Harga'!$C$28+AC15*'Daftar Produk &amp; Harga'!$C$29+AD15*'Daftar Produk &amp; Harga'!$C$30+AE15*'Daftar Produk &amp; Harga'!$C$31+AF15*'Daftar Produk &amp; Harga'!$C$32+AG15*'Daftar Produk &amp; Harga'!$C$33+AH15*'Daftar Produk &amp; Harga'!$C$34</x:f>
        <x:v>49485000</x:v>
      </x:c>
    </x:row>
    <x:row r="16" ht="18" customHeight="1">
      <x:c r="A16" s="178" t="n">
        <x:v>13</x:v>
      </x:c>
      <x:c r="B16" s="179" t="n">
        <x:v>46094</x:v>
      </x:c>
      <x:c r="C16" s="178" t="str">
        <x:v>Jumat</x:v>
      </x:c>
      <x:c r="D16" s="184" t="n">
        <x:v>50</x:v>
      </x:c>
      <x:c r="E16" s="184" t="n">
        <x:v>0</x:v>
      </x:c>
      <x:c r="F16" s="184" t="n">
        <x:v>50</x:v>
      </x:c>
      <x:c r="G16" s="184" t="n">
        <x:v>0</x:v>
      </x:c>
      <x:c r="H16" s="184" t="n">
        <x:v>50</x:v>
      </x:c>
      <x:c r="I16" s="184" t="n">
        <x:v>70</x:v>
      </x:c>
      <x:c r="J16" s="184" t="n">
        <x:v>50</x:v>
      </x:c>
      <x:c r="K16" s="184" t="n">
        <x:v>70</x:v>
      </x:c>
      <x:c r="L16" s="184" t="n">
        <x:v>50</x:v>
      </x:c>
      <x:c r="M16" s="184" t="n">
        <x:v>70</x:v>
      </x:c>
      <x:c r="N16" s="186" t="n">
        <x:v>50</x:v>
      </x:c>
      <x:c r="O16" s="186" t="n">
        <x:v>55</x:v>
      </x:c>
      <x:c r="P16" s="186" t="n">
        <x:v>40</x:v>
      </x:c>
      <x:c r="Q16" s="186" t="n">
        <x:v>55</x:v>
      </x:c>
      <x:c r="R16" s="186" t="n">
        <x:v>45</x:v>
      </x:c>
      <x:c r="S16" s="186" t="n">
        <x:v>50</x:v>
      </x:c>
      <x:c r="T16" s="186" t="n">
        <x:v>45</x:v>
      </x:c>
      <x:c r="U16" s="186" t="n">
        <x:v>50</x:v>
      </x:c>
      <x:c r="V16" s="186" t="n">
        <x:v>45</x:v>
      </x:c>
      <x:c r="W16" s="186" t="n">
        <x:v>40</x:v>
      </x:c>
      <x:c r="X16" s="186" t="n">
        <x:v>35</x:v>
      </x:c>
      <x:c r="Y16" s="186" t="n">
        <x:v>40</x:v>
      </x:c>
      <x:c r="Z16" s="186" t="n">
        <x:v>40</x:v>
      </x:c>
      <x:c r="AA16" s="186" t="n">
        <x:v>50</x:v>
      </x:c>
      <x:c r="AB16" s="186" t="n">
        <x:v>40</x:v>
      </x:c>
      <x:c r="AC16" s="186" t="n">
        <x:v>40</x:v>
      </x:c>
      <x:c r="AD16" s="186" t="n">
        <x:v>35</x:v>
      </x:c>
      <x:c r="AE16" s="186" t="n">
        <x:v>50</x:v>
      </x:c>
      <x:c r="AF16" s="186" t="n">
        <x:v>45</x:v>
      </x:c>
      <x:c r="AG16" s="186" t="n">
        <x:v>50</x:v>
      </x:c>
      <x:c r="AH16" s="186" t="n">
        <x:v>45</x:v>
      </x:c>
      <x:c r="AI16" s="188" t="n">
        <x:f>SUM(D16:AH16)</x:f>
        <x:v>1405</x:v>
      </x:c>
      <x:c r="AJ16" s="196" t="n">
        <x:f>D16*'Daftar Produk &amp; Harga'!$C$4+E16*'Daftar Produk &amp; Harga'!$C$5+F16*'Daftar Produk &amp; Harga'!$C$6+G16*'Daftar Produk &amp; Harga'!$C$7+H16*'Daftar Produk &amp; Harga'!$C$8+I16*'Daftar Produk &amp; Harga'!$C$9+J16*'Daftar Produk &amp; Harga'!$C$10+K16*'Daftar Produk &amp; Harga'!$C$11+L16*'Daftar Produk &amp; Harga'!$C$12+M16*'Daftar Produk &amp; Harga'!$C$13+N16*'Daftar Produk &amp; Harga'!$C$14+O16*'Daftar Produk &amp; Harga'!$C$15+P16*'Daftar Produk &amp; Harga'!$C$16+Q16*'Daftar Produk &amp; Harga'!$C$17+R16*'Daftar Produk &amp; Harga'!$C$18+S16*'Daftar Produk &amp; Harga'!$C$19+T16*'Daftar Produk &amp; Harga'!$C$20+U16*'Daftar Produk &amp; Harga'!$C$21+V16*'Daftar Produk &amp; Harga'!$C$22+W16*'Daftar Produk &amp; Harga'!$C$23+X16*'Daftar Produk &amp; Harga'!$C$24+Y16*'Daftar Produk &amp; Harga'!$C$25+Z16*'Daftar Produk &amp; Harga'!$C$26+AA16*'Daftar Produk &amp; Harga'!$C$27+AB16*'Daftar Produk &amp; Harga'!$C$28+AC16*'Daftar Produk &amp; Harga'!$C$29+AD16*'Daftar Produk &amp; Harga'!$C$30+AE16*'Daftar Produk &amp; Harga'!$C$31+AF16*'Daftar Produk &amp; Harga'!$C$32+AG16*'Daftar Produk &amp; Harga'!$C$33+AH16*'Daftar Produk &amp; Harga'!$C$34</x:f>
        <x:v>46200000</x:v>
      </x:c>
    </x:row>
    <x:row r="17" ht="18" customHeight="1">
      <x:c r="A17" s="178" t="n">
        <x:v>14</x:v>
      </x:c>
      <x:c r="B17" s="179" t="n">
        <x:v>46095</x:v>
      </x:c>
      <x:c r="C17" s="178" t="str">
        <x:v>Sabtu</x:v>
      </x:c>
      <x:c r="D17" s="184" t="n">
        <x:v>50</x:v>
      </x:c>
      <x:c r="E17" s="184" t="n">
        <x:v>0</x:v>
      </x:c>
      <x:c r="F17" s="184" t="n">
        <x:v>50</x:v>
      </x:c>
      <x:c r="G17" s="184" t="n">
        <x:v>50</x:v>
      </x:c>
      <x:c r="H17" s="184" t="n">
        <x:v>50</x:v>
      </x:c>
      <x:c r="I17" s="184" t="n">
        <x:v>70</x:v>
      </x:c>
      <x:c r="J17" s="184" t="n">
        <x:v>50</x:v>
      </x:c>
      <x:c r="K17" s="184" t="n">
        <x:v>80</x:v>
      </x:c>
      <x:c r="L17" s="184" t="n">
        <x:v>50</x:v>
      </x:c>
      <x:c r="M17" s="184" t="n">
        <x:v>70</x:v>
      </x:c>
      <x:c r="N17" s="186" t="n">
        <x:v>60</x:v>
      </x:c>
      <x:c r="O17" s="186" t="n">
        <x:v>55</x:v>
      </x:c>
      <x:c r="P17" s="186" t="n">
        <x:v>55</x:v>
      </x:c>
      <x:c r="Q17" s="186" t="n">
        <x:v>45</x:v>
      </x:c>
      <x:c r="R17" s="186" t="n">
        <x:v>50</x:v>
      </x:c>
      <x:c r="S17" s="186" t="n">
        <x:v>50</x:v>
      </x:c>
      <x:c r="T17" s="186" t="n">
        <x:v>45</x:v>
      </x:c>
      <x:c r="U17" s="186" t="n">
        <x:v>50</x:v>
      </x:c>
      <x:c r="V17" s="186" t="n">
        <x:v>60</x:v>
      </x:c>
      <x:c r="W17" s="186" t="n">
        <x:v>50</x:v>
      </x:c>
      <x:c r="X17" s="186" t="n">
        <x:v>50</x:v>
      </x:c>
      <x:c r="Y17" s="186" t="n">
        <x:v>50</x:v>
      </x:c>
      <x:c r="Z17" s="186" t="n">
        <x:v>50</x:v>
      </x:c>
      <x:c r="AA17" s="186" t="n">
        <x:v>60</x:v>
      </x:c>
      <x:c r="AB17" s="186" t="n">
        <x:v>45</x:v>
      </x:c>
      <x:c r="AC17" s="186" t="n">
        <x:v>65</x:v>
      </x:c>
      <x:c r="AD17" s="186" t="n">
        <x:v>55</x:v>
      </x:c>
      <x:c r="AE17" s="186" t="n">
        <x:v>60</x:v>
      </x:c>
      <x:c r="AF17" s="186" t="n">
        <x:v>55</x:v>
      </x:c>
      <x:c r="AG17" s="186" t="n">
        <x:v>50</x:v>
      </x:c>
      <x:c r="AH17" s="186" t="n">
        <x:v>50</x:v>
      </x:c>
      <x:c r="AI17" s="188" t="n">
        <x:f>SUM(D17:AH17)</x:f>
        <x:v>1630</x:v>
      </x:c>
      <x:c r="AJ17" s="196" t="n">
        <x:f>D17*'Daftar Produk &amp; Harga'!$C$4+E17*'Daftar Produk &amp; Harga'!$C$5+F17*'Daftar Produk &amp; Harga'!$C$6+G17*'Daftar Produk &amp; Harga'!$C$7+H17*'Daftar Produk &amp; Harga'!$C$8+I17*'Daftar Produk &amp; Harga'!$C$9+J17*'Daftar Produk &amp; Harga'!$C$10+K17*'Daftar Produk &amp; Harga'!$C$11+L17*'Daftar Produk &amp; Harga'!$C$12+M17*'Daftar Produk &amp; Harga'!$C$13+N17*'Daftar Produk &amp; Harga'!$C$14+O17*'Daftar Produk &amp; Harga'!$C$15+P17*'Daftar Produk &amp; Harga'!$C$16+Q17*'Daftar Produk &amp; Harga'!$C$17+R17*'Daftar Produk &amp; Harga'!$C$18+S17*'Daftar Produk &amp; Harga'!$C$19+T17*'Daftar Produk &amp; Harga'!$C$20+U17*'Daftar Produk &amp; Harga'!$C$21+V17*'Daftar Produk &amp; Harga'!$C$22+W17*'Daftar Produk &amp; Harga'!$C$23+X17*'Daftar Produk &amp; Harga'!$C$24+Y17*'Daftar Produk &amp; Harga'!$C$25+Z17*'Daftar Produk &amp; Harga'!$C$26+AA17*'Daftar Produk &amp; Harga'!$C$27+AB17*'Daftar Produk &amp; Harga'!$C$28+AC17*'Daftar Produk &amp; Harga'!$C$29+AD17*'Daftar Produk &amp; Harga'!$C$30+AE17*'Daftar Produk &amp; Harga'!$C$31+AF17*'Daftar Produk &amp; Harga'!$C$32+AG17*'Daftar Produk &amp; Harga'!$C$33+AH17*'Daftar Produk &amp; Harga'!$C$34</x:f>
        <x:v>54885000</x:v>
      </x:c>
    </x:row>
    <x:row r="18" ht="18" customHeight="1">
      <x:c r="A18" s="178" t="n">
        <x:v>15</x:v>
      </x:c>
      <x:c r="B18" s="179" t="n">
        <x:v>46096</x:v>
      </x:c>
      <x:c r="C18" s="178" t="str">
        <x:v>Minggu</x:v>
      </x:c>
      <x:c r="D18" s="184" t="n">
        <x:v>50</x:v>
      </x:c>
      <x:c r="E18" s="184" t="n">
        <x:v>0</x:v>
      </x:c>
      <x:c r="F18" s="184" t="n">
        <x:v>50</x:v>
      </x:c>
      <x:c r="G18" s="184" t="n">
        <x:v>50</x:v>
      </x:c>
      <x:c r="H18" s="184" t="n">
        <x:v>50</x:v>
      </x:c>
      <x:c r="I18" s="184" t="n">
        <x:v>40</x:v>
      </x:c>
      <x:c r="J18" s="184" t="n">
        <x:v>50</x:v>
      </x:c>
      <x:c r="K18" s="184" t="n">
        <x:v>40</x:v>
      </x:c>
      <x:c r="L18" s="184" t="n">
        <x:v>50</x:v>
      </x:c>
      <x:c r="M18" s="184" t="n">
        <x:v>0</x:v>
      </x:c>
      <x:c r="N18" s="186" t="n">
        <x:v>45</x:v>
      </x:c>
      <x:c r="O18" s="186" t="n">
        <x:v>50</x:v>
      </x:c>
      <x:c r="P18" s="186" t="n">
        <x:v>45</x:v>
      </x:c>
      <x:c r="Q18" s="186" t="n">
        <x:v>60</x:v>
      </x:c>
      <x:c r="R18" s="186" t="n">
        <x:v>55</x:v>
      </x:c>
      <x:c r="S18" s="186" t="n">
        <x:v>45</x:v>
      </x:c>
      <x:c r="T18" s="186" t="n">
        <x:v>50</x:v>
      </x:c>
      <x:c r="U18" s="186" t="n">
        <x:v>60</x:v>
      </x:c>
      <x:c r="V18" s="186" t="n">
        <x:v>60</x:v>
      </x:c>
      <x:c r="W18" s="186" t="n">
        <x:v>50</x:v>
      </x:c>
      <x:c r="X18" s="186" t="n">
        <x:v>60</x:v>
      </x:c>
      <x:c r="Y18" s="186" t="n">
        <x:v>40</x:v>
      </x:c>
      <x:c r="Z18" s="186" t="n">
        <x:v>55</x:v>
      </x:c>
      <x:c r="AA18" s="186" t="n">
        <x:v>50</x:v>
      </x:c>
      <x:c r="AB18" s="186" t="n">
        <x:v>45</x:v>
      </x:c>
      <x:c r="AC18" s="186" t="n">
        <x:v>50</x:v>
      </x:c>
      <x:c r="AD18" s="186" t="n">
        <x:v>60</x:v>
      </x:c>
      <x:c r="AE18" s="186" t="n">
        <x:v>55</x:v>
      </x:c>
      <x:c r="AF18" s="186" t="n">
        <x:v>55</x:v>
      </x:c>
      <x:c r="AG18" s="186" t="n">
        <x:v>65</x:v>
      </x:c>
      <x:c r="AH18" s="186" t="n">
        <x:v>40</x:v>
      </x:c>
      <x:c r="AI18" s="188" t="n">
        <x:f>SUM(D18:AH18)</x:f>
        <x:v>1475</x:v>
      </x:c>
      <x:c r="AJ18" s="196" t="n">
        <x:f>D18*'Daftar Produk &amp; Harga'!$C$4+E18*'Daftar Produk &amp; Harga'!$C$5+F18*'Daftar Produk &amp; Harga'!$C$6+G18*'Daftar Produk &amp; Harga'!$C$7+H18*'Daftar Produk &amp; Harga'!$C$8+I18*'Daftar Produk &amp; Harga'!$C$9+J18*'Daftar Produk &amp; Harga'!$C$10+K18*'Daftar Produk &amp; Harga'!$C$11+L18*'Daftar Produk &amp; Harga'!$C$12+M18*'Daftar Produk &amp; Harga'!$C$13+N18*'Daftar Produk &amp; Harga'!$C$14+O18*'Daftar Produk &amp; Harga'!$C$15+P18*'Daftar Produk &amp; Harga'!$C$16+Q18*'Daftar Produk &amp; Harga'!$C$17+R18*'Daftar Produk &amp; Harga'!$C$18+S18*'Daftar Produk &amp; Harga'!$C$19+T18*'Daftar Produk &amp; Harga'!$C$20+U18*'Daftar Produk &amp; Harga'!$C$21+V18*'Daftar Produk &amp; Harga'!$C$22+W18*'Daftar Produk &amp; Harga'!$C$23+X18*'Daftar Produk &amp; Harga'!$C$24+Y18*'Daftar Produk &amp; Harga'!$C$25+Z18*'Daftar Produk &amp; Harga'!$C$26+AA18*'Daftar Produk &amp; Harga'!$C$27+AB18*'Daftar Produk &amp; Harga'!$C$28+AC18*'Daftar Produk &amp; Harga'!$C$29+AD18*'Daftar Produk &amp; Harga'!$C$30+AE18*'Daftar Produk &amp; Harga'!$C$31+AF18*'Daftar Produk &amp; Harga'!$C$32+AG18*'Daftar Produk &amp; Harga'!$C$33+AH18*'Daftar Produk &amp; Harga'!$C$34</x:f>
        <x:v>48015000</x:v>
      </x:c>
    </x:row>
    <x:row r="19" ht="18" customHeight="1">
      <x:c r="A19" s="178" t="n">
        <x:v>16</x:v>
      </x:c>
      <x:c r="B19" s="179" t="n">
        <x:v>46097</x:v>
      </x:c>
      <x:c r="C19" s="178" t="str">
        <x:v>Senin</x:v>
      </x:c>
      <x:c r="D19" s="184" t="n">
        <x:v>50</x:v>
      </x:c>
      <x:c r="E19" s="184" t="n">
        <x:v>0</x:v>
      </x:c>
      <x:c r="F19" s="184" t="n">
        <x:v>0</x:v>
      </x:c>
      <x:c r="G19" s="184" t="n">
        <x:v>0</x:v>
      </x:c>
      <x:c r="H19" s="184" t="n">
        <x:v>0</x:v>
      </x:c>
      <x:c r="I19" s="184" t="n">
        <x:v>25</x:v>
      </x:c>
      <x:c r="J19" s="184" t="n">
        <x:v>0</x:v>
      </x:c>
      <x:c r="K19" s="184" t="n">
        <x:v>25</x:v>
      </x:c>
      <x:c r="L19" s="184" t="n">
        <x:v>0</x:v>
      </x:c>
      <x:c r="M19" s="184" t="n">
        <x:v>0</x:v>
      </x:c>
      <x:c r="N19" s="186" t="n">
        <x:v>50</x:v>
      </x:c>
      <x:c r="O19" s="186" t="n">
        <x:v>50</x:v>
      </x:c>
      <x:c r="P19" s="186" t="n">
        <x:v>50</x:v>
      </x:c>
      <x:c r="Q19" s="186" t="n">
        <x:v>50</x:v>
      </x:c>
      <x:c r="R19" s="186" t="n">
        <x:v>45</x:v>
      </x:c>
      <x:c r="S19" s="186" t="n">
        <x:v>40</x:v>
      </x:c>
      <x:c r="T19" s="186" t="n">
        <x:v>50</x:v>
      </x:c>
      <x:c r="U19" s="186" t="n">
        <x:v>40</x:v>
      </x:c>
      <x:c r="V19" s="186" t="n">
        <x:v>40</x:v>
      </x:c>
      <x:c r="W19" s="186" t="n">
        <x:v>55</x:v>
      </x:c>
      <x:c r="X19" s="186" t="n">
        <x:v>40</x:v>
      </x:c>
      <x:c r="Y19" s="186" t="n">
        <x:v>55</x:v>
      </x:c>
      <x:c r="Z19" s="186" t="n">
        <x:v>35</x:v>
      </x:c>
      <x:c r="AA19" s="186" t="n">
        <x:v>45</x:v>
      </x:c>
      <x:c r="AB19" s="186" t="n">
        <x:v>45</x:v>
      </x:c>
      <x:c r="AC19" s="186" t="n">
        <x:v>45</x:v>
      </x:c>
      <x:c r="AD19" s="186" t="n">
        <x:v>55</x:v>
      </x:c>
      <x:c r="AE19" s="186" t="n">
        <x:v>35</x:v>
      </x:c>
      <x:c r="AF19" s="186" t="n">
        <x:v>55</x:v>
      </x:c>
      <x:c r="AG19" s="186" t="n">
        <x:v>40</x:v>
      </x:c>
      <x:c r="AH19" s="186" t="n">
        <x:v>45</x:v>
      </x:c>
      <x:c r="AI19" s="188" t="n">
        <x:f>SUM(D19:AH19)</x:f>
        <x:v>1065</x:v>
      </x:c>
      <x:c r="AJ19" s="196" t="n">
        <x:f>D19*'Daftar Produk &amp; Harga'!$C$4+E19*'Daftar Produk &amp; Harga'!$C$5+F19*'Daftar Produk &amp; Harga'!$C$6+G19*'Daftar Produk &amp; Harga'!$C$7+H19*'Daftar Produk &amp; Harga'!$C$8+I19*'Daftar Produk &amp; Harga'!$C$9+J19*'Daftar Produk &amp; Harga'!$C$10+K19*'Daftar Produk &amp; Harga'!$C$11+L19*'Daftar Produk &amp; Harga'!$C$12+M19*'Daftar Produk &amp; Harga'!$C$13+N19*'Daftar Produk &amp; Harga'!$C$14+O19*'Daftar Produk &amp; Harga'!$C$15+P19*'Daftar Produk &amp; Harga'!$C$16+Q19*'Daftar Produk &amp; Harga'!$C$17+R19*'Daftar Produk &amp; Harga'!$C$18+S19*'Daftar Produk &amp; Harga'!$C$19+T19*'Daftar Produk &amp; Harga'!$C$20+U19*'Daftar Produk &amp; Harga'!$C$21+V19*'Daftar Produk &amp; Harga'!$C$22+W19*'Daftar Produk &amp; Harga'!$C$23+X19*'Daftar Produk &amp; Harga'!$C$24+Y19*'Daftar Produk &amp; Harga'!$C$25+Z19*'Daftar Produk &amp; Harga'!$C$26+AA19*'Daftar Produk &amp; Harga'!$C$27+AB19*'Daftar Produk &amp; Harga'!$C$28+AC19*'Daftar Produk &amp; Harga'!$C$29+AD19*'Daftar Produk &amp; Harga'!$C$30+AE19*'Daftar Produk &amp; Harga'!$C$31+AF19*'Daftar Produk &amp; Harga'!$C$32+AG19*'Daftar Produk &amp; Harga'!$C$33+AH19*'Daftar Produk &amp; Harga'!$C$34</x:f>
        <x:v>35035000</x:v>
      </x:c>
    </x:row>
    <x:row r="20" ht="18" customHeight="1">
      <x:c r="A20" s="178" t="n">
        <x:v>17</x:v>
      </x:c>
      <x:c r="B20" s="179" t="n">
        <x:v>46098</x:v>
      </x:c>
      <x:c r="C20" s="178" t="str">
        <x:v>Selasa</x:v>
      </x:c>
      <x:c r="D20" s="184" t="n">
        <x:v>40</x:v>
      </x:c>
      <x:c r="E20" s="184" t="n">
        <x:v>0</x:v>
      </x:c>
      <x:c r="F20" s="184" t="n">
        <x:v>0</x:v>
      </x:c>
      <x:c r="G20" s="184" t="n">
        <x:v>0</x:v>
      </x:c>
      <x:c r="H20" s="184" t="n">
        <x:v>0</x:v>
      </x:c>
      <x:c r="I20" s="184" t="n">
        <x:v>15</x:v>
      </x:c>
      <x:c r="J20" s="184" t="n">
        <x:v>0</x:v>
      </x:c>
      <x:c r="K20" s="184" t="n">
        <x:v>15</x:v>
      </x:c>
      <x:c r="L20" s="184" t="n">
        <x:v>0</x:v>
      </x:c>
      <x:c r="M20" s="184" t="n">
        <x:v>0</x:v>
      </x:c>
      <x:c r="N20" s="186" t="n">
        <x:v>50</x:v>
      </x:c>
      <x:c r="O20" s="186" t="n">
        <x:v>50</x:v>
      </x:c>
      <x:c r="P20" s="186" t="n">
        <x:v>55</x:v>
      </x:c>
      <x:c r="Q20" s="186" t="n">
        <x:v>40</x:v>
      </x:c>
      <x:c r="R20" s="186" t="n">
        <x:v>55</x:v>
      </x:c>
      <x:c r="S20" s="186" t="n">
        <x:v>45</x:v>
      </x:c>
      <x:c r="T20" s="186" t="n">
        <x:v>55</x:v>
      </x:c>
      <x:c r="U20" s="186" t="n">
        <x:v>50</x:v>
      </x:c>
      <x:c r="V20" s="186" t="n">
        <x:v>45</x:v>
      </x:c>
      <x:c r="W20" s="186" t="n">
        <x:v>45</x:v>
      </x:c>
      <x:c r="X20" s="186" t="n">
        <x:v>45</x:v>
      </x:c>
      <x:c r="Y20" s="186" t="n">
        <x:v>40</x:v>
      </x:c>
      <x:c r="Z20" s="186" t="n">
        <x:v>45</x:v>
      </x:c>
      <x:c r="AA20" s="186" t="n">
        <x:v>35</x:v>
      </x:c>
      <x:c r="AB20" s="186" t="n">
        <x:v>55</x:v>
      </x:c>
      <x:c r="AC20" s="186" t="n">
        <x:v>40</x:v>
      </x:c>
      <x:c r="AD20" s="186" t="n">
        <x:v>50</x:v>
      </x:c>
      <x:c r="AE20" s="186" t="n">
        <x:v>40</x:v>
      </x:c>
      <x:c r="AF20" s="186" t="n">
        <x:v>55</x:v>
      </x:c>
      <x:c r="AG20" s="186" t="n">
        <x:v>50</x:v>
      </x:c>
      <x:c r="AH20" s="186" t="n">
        <x:v>40</x:v>
      </x:c>
      <x:c r="AI20" s="188" t="n">
        <x:f>SUM(D20:AH20)</x:f>
        <x:v>1055</x:v>
      </x:c>
      <x:c r="AJ20" s="196" t="n">
        <x:f>D20*'Daftar Produk &amp; Harga'!$C$4+E20*'Daftar Produk &amp; Harga'!$C$5+F20*'Daftar Produk &amp; Harga'!$C$6+G20*'Daftar Produk &amp; Harga'!$C$7+H20*'Daftar Produk &amp; Harga'!$C$8+I20*'Daftar Produk &amp; Harga'!$C$9+J20*'Daftar Produk &amp; Harga'!$C$10+K20*'Daftar Produk &amp; Harga'!$C$11+L20*'Daftar Produk &amp; Harga'!$C$12+M20*'Daftar Produk &amp; Harga'!$C$13+N20*'Daftar Produk &amp; Harga'!$C$14+O20*'Daftar Produk &amp; Harga'!$C$15+P20*'Daftar Produk &amp; Harga'!$C$16+Q20*'Daftar Produk &amp; Harga'!$C$17+R20*'Daftar Produk &amp; Harga'!$C$18+S20*'Daftar Produk &amp; Harga'!$C$19+T20*'Daftar Produk &amp; Harga'!$C$20+U20*'Daftar Produk &amp; Harga'!$C$21+V20*'Daftar Produk &amp; Harga'!$C$22+W20*'Daftar Produk &amp; Harga'!$C$23+X20*'Daftar Produk &amp; Harga'!$C$24+Y20*'Daftar Produk &amp; Harga'!$C$25+Z20*'Daftar Produk &amp; Harga'!$C$26+AA20*'Daftar Produk &amp; Harga'!$C$27+AB20*'Daftar Produk &amp; Harga'!$C$28+AC20*'Daftar Produk &amp; Harga'!$C$29+AD20*'Daftar Produk &amp; Harga'!$C$30+AE20*'Daftar Produk &amp; Harga'!$C$31+AF20*'Daftar Produk &amp; Harga'!$C$32+AG20*'Daftar Produk &amp; Harga'!$C$33+AH20*'Daftar Produk &amp; Harga'!$C$34</x:f>
        <x:v>34255000</x:v>
      </x:c>
    </x:row>
    <x:row r="21" ht="18" customHeight="1">
      <x:c r="A21" s="178" t="n">
        <x:v>18</x:v>
      </x:c>
      <x:c r="B21" s="179" t="n">
        <x:v>46099</x:v>
      </x:c>
      <x:c r="C21" s="178" t="str">
        <x:v>Rabu</x:v>
      </x:c>
      <x:c r="D21" s="184" t="n">
        <x:v>0</x:v>
      </x:c>
      <x:c r="E21" s="184" t="n">
        <x:v>0</x:v>
      </x:c>
      <x:c r="F21" s="184" t="n">
        <x:v>0</x:v>
      </x:c>
      <x:c r="G21" s="184" t="n">
        <x:v>0</x:v>
      </x:c>
      <x:c r="H21" s="184" t="n">
        <x:v>0</x:v>
      </x:c>
      <x:c r="I21" s="184" t="n">
        <x:v>0</x:v>
      </x:c>
      <x:c r="J21" s="184" t="n">
        <x:v>0</x:v>
      </x:c>
      <x:c r="K21" s="184" t="n">
        <x:v>0</x:v>
      </x:c>
      <x:c r="L21" s="184" t="n">
        <x:v>0</x:v>
      </x:c>
      <x:c r="M21" s="184" t="n">
        <x:v>0</x:v>
      </x:c>
      <x:c r="N21" s="186" t="n">
        <x:v>45</x:v>
      </x:c>
      <x:c r="O21" s="186" t="n">
        <x:v>40</x:v>
      </x:c>
      <x:c r="P21" s="186" t="n">
        <x:v>45</x:v>
      </x:c>
      <x:c r="Q21" s="186" t="n">
        <x:v>45</x:v>
      </x:c>
      <x:c r="R21" s="186" t="n">
        <x:v>35</x:v>
      </x:c>
      <x:c r="S21" s="186" t="n">
        <x:v>45</x:v>
      </x:c>
      <x:c r="T21" s="186" t="n">
        <x:v>50</x:v>
      </x:c>
      <x:c r="U21" s="186" t="n">
        <x:v>55</x:v>
      </x:c>
      <x:c r="V21" s="186" t="n">
        <x:v>45</x:v>
      </x:c>
      <x:c r="W21" s="186" t="n">
        <x:v>45</x:v>
      </x:c>
      <x:c r="X21" s="186" t="n">
        <x:v>40</x:v>
      </x:c>
      <x:c r="Y21" s="186" t="n">
        <x:v>40</x:v>
      </x:c>
      <x:c r="Z21" s="186" t="n">
        <x:v>50</x:v>
      </x:c>
      <x:c r="AA21" s="186" t="n">
        <x:v>40</x:v>
      </x:c>
      <x:c r="AB21" s="186" t="n">
        <x:v>50</x:v>
      </x:c>
      <x:c r="AC21" s="186" t="n">
        <x:v>40</x:v>
      </x:c>
      <x:c r="AD21" s="186" t="n">
        <x:v>40</x:v>
      </x:c>
      <x:c r="AE21" s="186" t="n">
        <x:v>50</x:v>
      </x:c>
      <x:c r="AF21" s="186" t="n">
        <x:v>45</x:v>
      </x:c>
      <x:c r="AG21" s="186" t="n">
        <x:v>55</x:v>
      </x:c>
      <x:c r="AH21" s="186" t="n">
        <x:v>50</x:v>
      </x:c>
      <x:c r="AI21" s="188" t="n">
        <x:f>SUM(D21:AH21)</x:f>
        <x:v>950</x:v>
      </x:c>
      <x:c r="AJ21" s="196" t="n">
        <x:f>D21*'Daftar Produk &amp; Harga'!$C$4+E21*'Daftar Produk &amp; Harga'!$C$5+F21*'Daftar Produk &amp; Harga'!$C$6+G21*'Daftar Produk &amp; Harga'!$C$7+H21*'Daftar Produk &amp; Harga'!$C$8+I21*'Daftar Produk &amp; Harga'!$C$9+J21*'Daftar Produk &amp; Harga'!$C$10+K21*'Daftar Produk &amp; Harga'!$C$11+L21*'Daftar Produk &amp; Harga'!$C$12+M21*'Daftar Produk &amp; Harga'!$C$13+N21*'Daftar Produk &amp; Harga'!$C$14+O21*'Daftar Produk &amp; Harga'!$C$15+P21*'Daftar Produk &amp; Harga'!$C$16+Q21*'Daftar Produk &amp; Harga'!$C$17+R21*'Daftar Produk &amp; Harga'!$C$18+S21*'Daftar Produk &amp; Harga'!$C$19+T21*'Daftar Produk &amp; Harga'!$C$20+U21*'Daftar Produk &amp; Harga'!$C$21+V21*'Daftar Produk &amp; Harga'!$C$22+W21*'Daftar Produk &amp; Harga'!$C$23+X21*'Daftar Produk &amp; Harga'!$C$24+Y21*'Daftar Produk &amp; Harga'!$C$25+Z21*'Daftar Produk &amp; Harga'!$C$26+AA21*'Daftar Produk &amp; Harga'!$C$27+AB21*'Daftar Produk &amp; Harga'!$C$28+AC21*'Daftar Produk &amp; Harga'!$C$29+AD21*'Daftar Produk &amp; Harga'!$C$30+AE21*'Daftar Produk &amp; Harga'!$C$31+AF21*'Daftar Produk &amp; Harga'!$C$32+AG21*'Daftar Produk &amp; Harga'!$C$33+AH21*'Daftar Produk &amp; Harga'!$C$34</x:f>
        <x:v>30355000</x:v>
      </x:c>
    </x:row>
    <x:row r="22" ht="18" customHeight="1">
      <x:c r="A22" s="178" t="n">
        <x:v>19</x:v>
      </x:c>
      <x:c r="B22" s="179" t="n">
        <x:v>46100</x:v>
      </x:c>
      <x:c r="C22" s="178" t="str">
        <x:v>Kamis</x:v>
      </x:c>
      <x:c r="D22" s="184" t="n">
        <x:v>0</x:v>
      </x:c>
      <x:c r="E22" s="184" t="n">
        <x:v>0</x:v>
      </x:c>
      <x:c r="F22" s="184" t="n">
        <x:v>0</x:v>
      </x:c>
      <x:c r="G22" s="184" t="n">
        <x:v>0</x:v>
      </x:c>
      <x:c r="H22" s="184" t="n">
        <x:v>0</x:v>
      </x:c>
      <x:c r="I22" s="184" t="n">
        <x:v>0</x:v>
      </x:c>
      <x:c r="J22" s="184" t="n">
        <x:v>0</x:v>
      </x:c>
      <x:c r="K22" s="184" t="n">
        <x:v>0</x:v>
      </x:c>
      <x:c r="L22" s="184" t="n">
        <x:v>0</x:v>
      </x:c>
      <x:c r="M22" s="184" t="n">
        <x:v>0</x:v>
      </x:c>
      <x:c r="N22" s="186" t="n">
        <x:v>50</x:v>
      </x:c>
      <x:c r="O22" s="186" t="n">
        <x:v>45</x:v>
      </x:c>
      <x:c r="P22" s="186" t="n">
        <x:v>45</x:v>
      </x:c>
      <x:c r="Q22" s="186" t="n">
        <x:v>50</x:v>
      </x:c>
      <x:c r="R22" s="186" t="n">
        <x:v>45</x:v>
      </x:c>
      <x:c r="S22" s="186" t="n">
        <x:v>40</x:v>
      </x:c>
      <x:c r="T22" s="186" t="n">
        <x:v>50</x:v>
      </x:c>
      <x:c r="U22" s="186" t="n">
        <x:v>55</x:v>
      </x:c>
      <x:c r="V22" s="186" t="n">
        <x:v>45</x:v>
      </x:c>
      <x:c r="W22" s="186" t="n">
        <x:v>40</x:v>
      </x:c>
      <x:c r="X22" s="186" t="n">
        <x:v>40</x:v>
      </x:c>
      <x:c r="Y22" s="186" t="n">
        <x:v>45</x:v>
      </x:c>
      <x:c r="Z22" s="186" t="n">
        <x:v>50</x:v>
      </x:c>
      <x:c r="AA22" s="186" t="n">
        <x:v>40</x:v>
      </x:c>
      <x:c r="AB22" s="186" t="n">
        <x:v>45</x:v>
      </x:c>
      <x:c r="AC22" s="186" t="n">
        <x:v>40</x:v>
      </x:c>
      <x:c r="AD22" s="186" t="n">
        <x:v>45</x:v>
      </x:c>
      <x:c r="AE22" s="186" t="n">
        <x:v>45</x:v>
      </x:c>
      <x:c r="AF22" s="186" t="n">
        <x:v>55</x:v>
      </x:c>
      <x:c r="AG22" s="186" t="n">
        <x:v>45</x:v>
      </x:c>
      <x:c r="AH22" s="186" t="n">
        <x:v>45</x:v>
      </x:c>
      <x:c r="AI22" s="188" t="n">
        <x:f>SUM(D22:AH22)</x:f>
        <x:v>960</x:v>
      </x:c>
      <x:c r="AJ22" s="196" t="n">
        <x:f>D22*'Daftar Produk &amp; Harga'!$C$4+E22*'Daftar Produk &amp; Harga'!$C$5+F22*'Daftar Produk &amp; Harga'!$C$6+G22*'Daftar Produk &amp; Harga'!$C$7+H22*'Daftar Produk &amp; Harga'!$C$8+I22*'Daftar Produk &amp; Harga'!$C$9+J22*'Daftar Produk &amp; Harga'!$C$10+K22*'Daftar Produk &amp; Harga'!$C$11+L22*'Daftar Produk &amp; Harga'!$C$12+M22*'Daftar Produk &amp; Harga'!$C$13+N22*'Daftar Produk &amp; Harga'!$C$14+O22*'Daftar Produk &amp; Harga'!$C$15+P22*'Daftar Produk &amp; Harga'!$C$16+Q22*'Daftar Produk &amp; Harga'!$C$17+R22*'Daftar Produk &amp; Harga'!$C$18+S22*'Daftar Produk &amp; Harga'!$C$19+T22*'Daftar Produk &amp; Harga'!$C$20+U22*'Daftar Produk &amp; Harga'!$C$21+V22*'Daftar Produk &amp; Harga'!$C$22+W22*'Daftar Produk &amp; Harga'!$C$23+X22*'Daftar Produk &amp; Harga'!$C$24+Y22*'Daftar Produk &amp; Harga'!$C$25+Z22*'Daftar Produk &amp; Harga'!$C$26+AA22*'Daftar Produk &amp; Harga'!$C$27+AB22*'Daftar Produk &amp; Harga'!$C$28+AC22*'Daftar Produk &amp; Harga'!$C$29+AD22*'Daftar Produk &amp; Harga'!$C$30+AE22*'Daftar Produk &amp; Harga'!$C$31+AF22*'Daftar Produk &amp; Harga'!$C$32+AG22*'Daftar Produk &amp; Harga'!$C$33+AH22*'Daftar Produk &amp; Harga'!$C$34</x:f>
        <x:v>31045000</x:v>
      </x:c>
    </x:row>
    <x:row r="23" ht="18" customHeight="1">
      <x:c r="A23" s="178" t="n">
        <x:v>20</x:v>
      </x:c>
      <x:c r="B23" s="179" t="n">
        <x:v>46101</x:v>
      </x:c>
      <x:c r="C23" s="178" t="str">
        <x:v>Jumat</x:v>
      </x:c>
      <x:c r="D23" s="184" t="n">
        <x:v>0</x:v>
      </x:c>
      <x:c r="E23" s="184" t="n">
        <x:v>0</x:v>
      </x:c>
      <x:c r="F23" s="184" t="n">
        <x:v>0</x:v>
      </x:c>
      <x:c r="G23" s="184" t="n">
        <x:v>0</x:v>
      </x:c>
      <x:c r="H23" s="184" t="n">
        <x:v>0</x:v>
      </x:c>
      <x:c r="I23" s="184" t="n">
        <x:v>0</x:v>
      </x:c>
      <x:c r="J23" s="184" t="n">
        <x:v>0</x:v>
      </x:c>
      <x:c r="K23" s="184" t="n">
        <x:v>0</x:v>
      </x:c>
      <x:c r="L23" s="184" t="n">
        <x:v>0</x:v>
      </x:c>
      <x:c r="M23" s="184" t="n">
        <x:v>0</x:v>
      </x:c>
      <x:c r="N23" s="186" t="n">
        <x:v>0</x:v>
      </x:c>
      <x:c r="O23" s="186" t="n">
        <x:v>0</x:v>
      </x:c>
      <x:c r="P23" s="186" t="n">
        <x:v>0</x:v>
      </x:c>
      <x:c r="Q23" s="186" t="n">
        <x:v>0</x:v>
      </x:c>
      <x:c r="R23" s="186" t="n">
        <x:v>0</x:v>
      </x:c>
      <x:c r="S23" s="186" t="n">
        <x:v>0</x:v>
      </x:c>
      <x:c r="T23" s="186" t="n">
        <x:v>0</x:v>
      </x:c>
      <x:c r="U23" s="186" t="n">
        <x:v>0</x:v>
      </x:c>
      <x:c r="V23" s="186" t="n">
        <x:v>0</x:v>
      </x:c>
      <x:c r="W23" s="186" t="n">
        <x:v>0</x:v>
      </x:c>
      <x:c r="X23" s="186" t="n">
        <x:v>0</x:v>
      </x:c>
      <x:c r="Y23" s="186" t="n">
        <x:v>0</x:v>
      </x:c>
      <x:c r="Z23" s="186" t="n">
        <x:v>0</x:v>
      </x:c>
      <x:c r="AA23" s="186" t="n">
        <x:v>0</x:v>
      </x:c>
      <x:c r="AB23" s="186" t="n">
        <x:v>0</x:v>
      </x:c>
      <x:c r="AC23" s="186" t="n">
        <x:v>0</x:v>
      </x:c>
      <x:c r="AD23" s="186" t="n">
        <x:v>0</x:v>
      </x:c>
      <x:c r="AE23" s="186" t="n">
        <x:v>0</x:v>
      </x:c>
      <x:c r="AF23" s="186" t="n">
        <x:v>0</x:v>
      </x:c>
      <x:c r="AG23" s="186" t="n">
        <x:v>0</x:v>
      </x:c>
      <x:c r="AH23" s="186" t="n">
        <x:v>0</x:v>
      </x:c>
      <x:c r="AI23" s="188" t="n">
        <x:f>SUM(D23:AH23)</x:f>
        <x:v>0</x:v>
      </x:c>
      <x:c r="AJ23" s="196" t="n">
        <x:f>D23*'Daftar Produk &amp; Harga'!$C$4+E23*'Daftar Produk &amp; Harga'!$C$5+F23*'Daftar Produk &amp; Harga'!$C$6+G23*'Daftar Produk &amp; Harga'!$C$7+H23*'Daftar Produk &amp; Harga'!$C$8+I23*'Daftar Produk &amp; Harga'!$C$9+J23*'Daftar Produk &amp; Harga'!$C$10+K23*'Daftar Produk &amp; Harga'!$C$11+L23*'Daftar Produk &amp; Harga'!$C$12+M23*'Daftar Produk &amp; Harga'!$C$13+N23*'Daftar Produk &amp; Harga'!$C$14+O23*'Daftar Produk &amp; Harga'!$C$15+P23*'Daftar Produk &amp; Harga'!$C$16+Q23*'Daftar Produk &amp; Harga'!$C$17+R23*'Daftar Produk &amp; Harga'!$C$18+S23*'Daftar Produk &amp; Harga'!$C$19+T23*'Daftar Produk &amp; Harga'!$C$20+U23*'Daftar Produk &amp; Harga'!$C$21+V23*'Daftar Produk &amp; Harga'!$C$22+W23*'Daftar Produk &amp; Harga'!$C$23+X23*'Daftar Produk &amp; Harga'!$C$24+Y23*'Daftar Produk &amp; Harga'!$C$25+Z23*'Daftar Produk &amp; Harga'!$C$26+AA23*'Daftar Produk &amp; Harga'!$C$27+AB23*'Daftar Produk &amp; Harga'!$C$28+AC23*'Daftar Produk &amp; Harga'!$C$29+AD23*'Daftar Produk &amp; Harga'!$C$30+AE23*'Daftar Produk &amp; Harga'!$C$31+AF23*'Daftar Produk &amp; Harga'!$C$32+AG23*'Daftar Produk &amp; Harga'!$C$33+AH23*'Daftar Produk &amp; Harga'!$C$34</x:f>
        <x:v>0</x:v>
      </x:c>
    </x:row>
    <x:row r="24" ht="18" customHeight="1">
      <x:c r="A24" s="178" t="n">
        <x:v>21</x:v>
      </x:c>
      <x:c r="B24" s="179" t="n">
        <x:v>46102</x:v>
      </x:c>
      <x:c r="C24" s="178" t="str">
        <x:v>Sabtu</x:v>
      </x:c>
      <x:c r="D24" s="184" t="n">
        <x:v>0</x:v>
      </x:c>
      <x:c r="E24" s="184" t="n">
        <x:v>0</x:v>
      </x:c>
      <x:c r="F24" s="184" t="n">
        <x:v>0</x:v>
      </x:c>
      <x:c r="G24" s="184" t="n">
        <x:v>0</x:v>
      </x:c>
      <x:c r="H24" s="184" t="n">
        <x:v>0</x:v>
      </x:c>
      <x:c r="I24" s="184" t="n">
        <x:v>0</x:v>
      </x:c>
      <x:c r="J24" s="184" t="n">
        <x:v>0</x:v>
      </x:c>
      <x:c r="K24" s="184" t="n">
        <x:v>0</x:v>
      </x:c>
      <x:c r="L24" s="184" t="n">
        <x:v>0</x:v>
      </x:c>
      <x:c r="M24" s="184" t="n">
        <x:v>0</x:v>
      </x:c>
      <x:c r="N24" s="186" t="n">
        <x:v>0</x:v>
      </x:c>
      <x:c r="O24" s="186" t="n">
        <x:v>0</x:v>
      </x:c>
      <x:c r="P24" s="186" t="n">
        <x:v>0</x:v>
      </x:c>
      <x:c r="Q24" s="186" t="n">
        <x:v>0</x:v>
      </x:c>
      <x:c r="R24" s="186" t="n">
        <x:v>0</x:v>
      </x:c>
      <x:c r="S24" s="186" t="n">
        <x:v>0</x:v>
      </x:c>
      <x:c r="T24" s="186" t="n">
        <x:v>0</x:v>
      </x:c>
      <x:c r="U24" s="186" t="n">
        <x:v>0</x:v>
      </x:c>
      <x:c r="V24" s="186" t="n">
        <x:v>0</x:v>
      </x:c>
      <x:c r="W24" s="186" t="n">
        <x:v>0</x:v>
      </x:c>
      <x:c r="X24" s="186" t="n">
        <x:v>0</x:v>
      </x:c>
      <x:c r="Y24" s="186" t="n">
        <x:v>0</x:v>
      </x:c>
      <x:c r="Z24" s="186" t="n">
        <x:v>0</x:v>
      </x:c>
      <x:c r="AA24" s="186" t="n">
        <x:v>0</x:v>
      </x:c>
      <x:c r="AB24" s="186" t="n">
        <x:v>0</x:v>
      </x:c>
      <x:c r="AC24" s="186" t="n">
        <x:v>0</x:v>
      </x:c>
      <x:c r="AD24" s="186" t="n">
        <x:v>0</x:v>
      </x:c>
      <x:c r="AE24" s="186" t="n">
        <x:v>0</x:v>
      </x:c>
      <x:c r="AF24" s="186" t="n">
        <x:v>0</x:v>
      </x:c>
      <x:c r="AG24" s="186" t="n">
        <x:v>0</x:v>
      </x:c>
      <x:c r="AH24" s="186" t="n">
        <x:v>0</x:v>
      </x:c>
      <x:c r="AI24" s="188" t="n">
        <x:f>SUM(D24:AH24)</x:f>
        <x:v>0</x:v>
      </x:c>
      <x:c r="AJ24" s="196" t="n">
        <x:f>D24*'Daftar Produk &amp; Harga'!$C$4+E24*'Daftar Produk &amp; Harga'!$C$5+F24*'Daftar Produk &amp; Harga'!$C$6+G24*'Daftar Produk &amp; Harga'!$C$7+H24*'Daftar Produk &amp; Harga'!$C$8+I24*'Daftar Produk &amp; Harga'!$C$9+J24*'Daftar Produk &amp; Harga'!$C$10+K24*'Daftar Produk &amp; Harga'!$C$11+L24*'Daftar Produk &amp; Harga'!$C$12+M24*'Daftar Produk &amp; Harga'!$C$13+N24*'Daftar Produk &amp; Harga'!$C$14+O24*'Daftar Produk &amp; Harga'!$C$15+P24*'Daftar Produk &amp; Harga'!$C$16+Q24*'Daftar Produk &amp; Harga'!$C$17+R24*'Daftar Produk &amp; Harga'!$C$18+S24*'Daftar Produk &amp; Harga'!$C$19+T24*'Daftar Produk &amp; Harga'!$C$20+U24*'Daftar Produk &amp; Harga'!$C$21+V24*'Daftar Produk &amp; Harga'!$C$22+W24*'Daftar Produk &amp; Harga'!$C$23+X24*'Daftar Produk &amp; Harga'!$C$24+Y24*'Daftar Produk &amp; Harga'!$C$25+Z24*'Daftar Produk &amp; Harga'!$C$26+AA24*'Daftar Produk &amp; Harga'!$C$27+AB24*'Daftar Produk &amp; Harga'!$C$28+AC24*'Daftar Produk &amp; Harga'!$C$29+AD24*'Daftar Produk &amp; Harga'!$C$30+AE24*'Daftar Produk &amp; Harga'!$C$31+AF24*'Daftar Produk &amp; Harga'!$C$32+AG24*'Daftar Produk &amp; Harga'!$C$33+AH24*'Daftar Produk &amp; Harga'!$C$34</x:f>
        <x:v>0</x:v>
      </x:c>
    </x:row>
    <x:row r="25" ht="18" customHeight="1">
      <x:c r="A25" s="178" t="n">
        <x:v>22</x:v>
      </x:c>
      <x:c r="B25" s="179" t="n">
        <x:v>46103</x:v>
      </x:c>
      <x:c r="C25" s="178" t="str">
        <x:v>Minggu</x:v>
      </x:c>
      <x:c r="D25" s="184" t="n">
        <x:v>0</x:v>
      </x:c>
      <x:c r="E25" s="184" t="n">
        <x:v>0</x:v>
      </x:c>
      <x:c r="F25" s="184" t="n">
        <x:v>0</x:v>
      </x:c>
      <x:c r="G25" s="184" t="n">
        <x:v>0</x:v>
      </x:c>
      <x:c r="H25" s="184" t="n">
        <x:v>0</x:v>
      </x:c>
      <x:c r="I25" s="184" t="n">
        <x:v>0</x:v>
      </x:c>
      <x:c r="J25" s="184" t="n">
        <x:v>0</x:v>
      </x:c>
      <x:c r="K25" s="184" t="n">
        <x:v>0</x:v>
      </x:c>
      <x:c r="L25" s="184" t="n">
        <x:v>0</x:v>
      </x:c>
      <x:c r="M25" s="184" t="n">
        <x:v>0</x:v>
      </x:c>
      <x:c r="N25" s="186" t="n">
        <x:v>0</x:v>
      </x:c>
      <x:c r="O25" s="186" t="n">
        <x:v>0</x:v>
      </x:c>
      <x:c r="P25" s="186" t="n">
        <x:v>0</x:v>
      </x:c>
      <x:c r="Q25" s="186" t="n">
        <x:v>0</x:v>
      </x:c>
      <x:c r="R25" s="186" t="n">
        <x:v>0</x:v>
      </x:c>
      <x:c r="S25" s="186" t="n">
        <x:v>0</x:v>
      </x:c>
      <x:c r="T25" s="186" t="n">
        <x:v>0</x:v>
      </x:c>
      <x:c r="U25" s="186" t="n">
        <x:v>0</x:v>
      </x:c>
      <x:c r="V25" s="186" t="n">
        <x:v>0</x:v>
      </x:c>
      <x:c r="W25" s="186" t="n">
        <x:v>0</x:v>
      </x:c>
      <x:c r="X25" s="186" t="n">
        <x:v>0</x:v>
      </x:c>
      <x:c r="Y25" s="186" t="n">
        <x:v>0</x:v>
      </x:c>
      <x:c r="Z25" s="186" t="n">
        <x:v>0</x:v>
      </x:c>
      <x:c r="AA25" s="186" t="n">
        <x:v>0</x:v>
      </x:c>
      <x:c r="AB25" s="186" t="n">
        <x:v>0</x:v>
      </x:c>
      <x:c r="AC25" s="186" t="n">
        <x:v>0</x:v>
      </x:c>
      <x:c r="AD25" s="186" t="n">
        <x:v>0</x:v>
      </x:c>
      <x:c r="AE25" s="186" t="n">
        <x:v>0</x:v>
      </x:c>
      <x:c r="AF25" s="186" t="n">
        <x:v>0</x:v>
      </x:c>
      <x:c r="AG25" s="186" t="n">
        <x:v>0</x:v>
      </x:c>
      <x:c r="AH25" s="186" t="n">
        <x:v>0</x:v>
      </x:c>
      <x:c r="AI25" s="188" t="n">
        <x:f>SUM(D25:AH25)</x:f>
        <x:v>0</x:v>
      </x:c>
      <x:c r="AJ25" s="196" t="n">
        <x:f>D25*'Daftar Produk &amp; Harga'!$C$4+E25*'Daftar Produk &amp; Harga'!$C$5+F25*'Daftar Produk &amp; Harga'!$C$6+G25*'Daftar Produk &amp; Harga'!$C$7+H25*'Daftar Produk &amp; Harga'!$C$8+I25*'Daftar Produk &amp; Harga'!$C$9+J25*'Daftar Produk &amp; Harga'!$C$10+K25*'Daftar Produk &amp; Harga'!$C$11+L25*'Daftar Produk &amp; Harga'!$C$12+M25*'Daftar Produk &amp; Harga'!$C$13+N25*'Daftar Produk &amp; Harga'!$C$14+O25*'Daftar Produk &amp; Harga'!$C$15+P25*'Daftar Produk &amp; Harga'!$C$16+Q25*'Daftar Produk &amp; Harga'!$C$17+R25*'Daftar Produk &amp; Harga'!$C$18+S25*'Daftar Produk &amp; Harga'!$C$19+T25*'Daftar Produk &amp; Harga'!$C$20+U25*'Daftar Produk &amp; Harga'!$C$21+V25*'Daftar Produk &amp; Harga'!$C$22+W25*'Daftar Produk &amp; Harga'!$C$23+X25*'Daftar Produk &amp; Harga'!$C$24+Y25*'Daftar Produk &amp; Harga'!$C$25+Z25*'Daftar Produk &amp; Harga'!$C$26+AA25*'Daftar Produk &amp; Harga'!$C$27+AB25*'Daftar Produk &amp; Harga'!$C$28+AC25*'Daftar Produk &amp; Harga'!$C$29+AD25*'Daftar Produk &amp; Harga'!$C$30+AE25*'Daftar Produk &amp; Harga'!$C$31+AF25*'Daftar Produk &amp; Harga'!$C$32+AG25*'Daftar Produk &amp; Harga'!$C$33+AH25*'Daftar Produk &amp; Harga'!$C$34</x:f>
        <x:v>0</x:v>
      </x:c>
    </x:row>
    <x:row r="26" ht="18" customHeight="1">
      <x:c r="A26" s="178" t="n">
        <x:v>23</x:v>
      </x:c>
      <x:c r="B26" s="179" t="n">
        <x:v>46104</x:v>
      </x:c>
      <x:c r="C26" s="178" t="str">
        <x:v>Senin</x:v>
      </x:c>
      <x:c r="D26" s="184" t="n">
        <x:v>0</x:v>
      </x:c>
      <x:c r="E26" s="184" t="n">
        <x:v>0</x:v>
      </x:c>
      <x:c r="F26" s="184" t="n">
        <x:v>0</x:v>
      </x:c>
      <x:c r="G26" s="184" t="n">
        <x:v>0</x:v>
      </x:c>
      <x:c r="H26" s="184" t="n">
        <x:v>0</x:v>
      </x:c>
      <x:c r="I26" s="184" t="n">
        <x:v>0</x:v>
      </x:c>
      <x:c r="J26" s="184" t="n">
        <x:v>0</x:v>
      </x:c>
      <x:c r="K26" s="184" t="n">
        <x:v>0</x:v>
      </x:c>
      <x:c r="L26" s="184" t="n">
        <x:v>0</x:v>
      </x:c>
      <x:c r="M26" s="184" t="n">
        <x:v>0</x:v>
      </x:c>
      <x:c r="N26" s="186" t="n">
        <x:v>0</x:v>
      </x:c>
      <x:c r="O26" s="186" t="n">
        <x:v>0</x:v>
      </x:c>
      <x:c r="P26" s="186" t="n">
        <x:v>0</x:v>
      </x:c>
      <x:c r="Q26" s="186" t="n">
        <x:v>0</x:v>
      </x:c>
      <x:c r="R26" s="186" t="n">
        <x:v>0</x:v>
      </x:c>
      <x:c r="S26" s="186" t="n">
        <x:v>0</x:v>
      </x:c>
      <x:c r="T26" s="186" t="n">
        <x:v>0</x:v>
      </x:c>
      <x:c r="U26" s="186" t="n">
        <x:v>0</x:v>
      </x:c>
      <x:c r="V26" s="186" t="n">
        <x:v>0</x:v>
      </x:c>
      <x:c r="W26" s="186" t="n">
        <x:v>0</x:v>
      </x:c>
      <x:c r="X26" s="186" t="n">
        <x:v>0</x:v>
      </x:c>
      <x:c r="Y26" s="186" t="n">
        <x:v>0</x:v>
      </x:c>
      <x:c r="Z26" s="186" t="n">
        <x:v>0</x:v>
      </x:c>
      <x:c r="AA26" s="186" t="n">
        <x:v>0</x:v>
      </x:c>
      <x:c r="AB26" s="186" t="n">
        <x:v>0</x:v>
      </x:c>
      <x:c r="AC26" s="186" t="n">
        <x:v>0</x:v>
      </x:c>
      <x:c r="AD26" s="186" t="n">
        <x:v>0</x:v>
      </x:c>
      <x:c r="AE26" s="186" t="n">
        <x:v>0</x:v>
      </x:c>
      <x:c r="AF26" s="186" t="n">
        <x:v>0</x:v>
      </x:c>
      <x:c r="AG26" s="186" t="n">
        <x:v>0</x:v>
      </x:c>
      <x:c r="AH26" s="186" t="n">
        <x:v>0</x:v>
      </x:c>
      <x:c r="AI26" s="188" t="n">
        <x:f>SUM(D26:AH26)</x:f>
        <x:v>0</x:v>
      </x:c>
      <x:c r="AJ26" s="196" t="n">
        <x:f>D26*'Daftar Produk &amp; Harga'!$C$4+E26*'Daftar Produk &amp; Harga'!$C$5+F26*'Daftar Produk &amp; Harga'!$C$6+G26*'Daftar Produk &amp; Harga'!$C$7+H26*'Daftar Produk &amp; Harga'!$C$8+I26*'Daftar Produk &amp; Harga'!$C$9+J26*'Daftar Produk &amp; Harga'!$C$10+K26*'Daftar Produk &amp; Harga'!$C$11+L26*'Daftar Produk &amp; Harga'!$C$12+M26*'Daftar Produk &amp; Harga'!$C$13+N26*'Daftar Produk &amp; Harga'!$C$14+O26*'Daftar Produk &amp; Harga'!$C$15+P26*'Daftar Produk &amp; Harga'!$C$16+Q26*'Daftar Produk &amp; Harga'!$C$17+R26*'Daftar Produk &amp; Harga'!$C$18+S26*'Daftar Produk &amp; Harga'!$C$19+T26*'Daftar Produk &amp; Harga'!$C$20+U26*'Daftar Produk &amp; Harga'!$C$21+V26*'Daftar Produk &amp; Harga'!$C$22+W26*'Daftar Produk &amp; Harga'!$C$23+X26*'Daftar Produk &amp; Harga'!$C$24+Y26*'Daftar Produk &amp; Harga'!$C$25+Z26*'Daftar Produk &amp; Harga'!$C$26+AA26*'Daftar Produk &amp; Harga'!$C$27+AB26*'Daftar Produk &amp; Harga'!$C$28+AC26*'Daftar Produk &amp; Harga'!$C$29+AD26*'Daftar Produk &amp; Harga'!$C$30+AE26*'Daftar Produk &amp; Harga'!$C$31+AF26*'Daftar Produk &amp; Harga'!$C$32+AG26*'Daftar Produk &amp; Harga'!$C$33+AH26*'Daftar Produk &amp; Harga'!$C$34</x:f>
        <x:v>0</x:v>
      </x:c>
    </x:row>
    <x:row r="27" ht="18" customHeight="1">
      <x:c r="A27" s="178" t="n">
        <x:v>24</x:v>
      </x:c>
      <x:c r="B27" s="179" t="n">
        <x:v>46105</x:v>
      </x:c>
      <x:c r="C27" s="178" t="str">
        <x:v>Selasa</x:v>
      </x:c>
      <x:c r="D27" s="184" t="n">
        <x:v>0</x:v>
      </x:c>
      <x:c r="E27" s="184" t="n">
        <x:v>0</x:v>
      </x:c>
      <x:c r="F27" s="184" t="n">
        <x:v>0</x:v>
      </x:c>
      <x:c r="G27" s="184" t="n">
        <x:v>0</x:v>
      </x:c>
      <x:c r="H27" s="184" t="n">
        <x:v>0</x:v>
      </x:c>
      <x:c r="I27" s="184" t="n">
        <x:v>0</x:v>
      </x:c>
      <x:c r="J27" s="184" t="n">
        <x:v>0</x:v>
      </x:c>
      <x:c r="K27" s="184" t="n">
        <x:v>0</x:v>
      </x:c>
      <x:c r="L27" s="184" t="n">
        <x:v>0</x:v>
      </x:c>
      <x:c r="M27" s="184" t="n">
        <x:v>0</x:v>
      </x:c>
      <x:c r="N27" s="186" t="n">
        <x:v>0</x:v>
      </x:c>
      <x:c r="O27" s="186" t="n">
        <x:v>0</x:v>
      </x:c>
      <x:c r="P27" s="186" t="n">
        <x:v>0</x:v>
      </x:c>
      <x:c r="Q27" s="186" t="n">
        <x:v>0</x:v>
      </x:c>
      <x:c r="R27" s="186" t="n">
        <x:v>0</x:v>
      </x:c>
      <x:c r="S27" s="186" t="n">
        <x:v>0</x:v>
      </x:c>
      <x:c r="T27" s="186" t="n">
        <x:v>0</x:v>
      </x:c>
      <x:c r="U27" s="186" t="n">
        <x:v>0</x:v>
      </x:c>
      <x:c r="V27" s="186" t="n">
        <x:v>0</x:v>
      </x:c>
      <x:c r="W27" s="186" t="n">
        <x:v>0</x:v>
      </x:c>
      <x:c r="X27" s="186" t="n">
        <x:v>0</x:v>
      </x:c>
      <x:c r="Y27" s="186" t="n">
        <x:v>0</x:v>
      </x:c>
      <x:c r="Z27" s="186" t="n">
        <x:v>0</x:v>
      </x:c>
      <x:c r="AA27" s="186" t="n">
        <x:v>0</x:v>
      </x:c>
      <x:c r="AB27" s="186" t="n">
        <x:v>0</x:v>
      </x:c>
      <x:c r="AC27" s="186" t="n">
        <x:v>0</x:v>
      </x:c>
      <x:c r="AD27" s="186" t="n">
        <x:v>0</x:v>
      </x:c>
      <x:c r="AE27" s="186" t="n">
        <x:v>0</x:v>
      </x:c>
      <x:c r="AF27" s="186" t="n">
        <x:v>0</x:v>
      </x:c>
      <x:c r="AG27" s="186" t="n">
        <x:v>0</x:v>
      </x:c>
      <x:c r="AH27" s="186" t="n">
        <x:v>0</x:v>
      </x:c>
      <x:c r="AI27" s="188" t="n">
        <x:f>SUM(D27:AH27)</x:f>
        <x:v>0</x:v>
      </x:c>
      <x:c r="AJ27" s="196" t="n">
        <x:f>D27*'Daftar Produk &amp; Harga'!$C$4+E27*'Daftar Produk &amp; Harga'!$C$5+F27*'Daftar Produk &amp; Harga'!$C$6+G27*'Daftar Produk &amp; Harga'!$C$7+H27*'Daftar Produk &amp; Harga'!$C$8+I27*'Daftar Produk &amp; Harga'!$C$9+J27*'Daftar Produk &amp; Harga'!$C$10+K27*'Daftar Produk &amp; Harga'!$C$11+L27*'Daftar Produk &amp; Harga'!$C$12+M27*'Daftar Produk &amp; Harga'!$C$13+N27*'Daftar Produk &amp; Harga'!$C$14+O27*'Daftar Produk &amp; Harga'!$C$15+P27*'Daftar Produk &amp; Harga'!$C$16+Q27*'Daftar Produk &amp; Harga'!$C$17+R27*'Daftar Produk &amp; Harga'!$C$18+S27*'Daftar Produk &amp; Harga'!$C$19+T27*'Daftar Produk &amp; Harga'!$C$20+U27*'Daftar Produk &amp; Harga'!$C$21+V27*'Daftar Produk &amp; Harga'!$C$22+W27*'Daftar Produk &amp; Harga'!$C$23+X27*'Daftar Produk &amp; Harga'!$C$24+Y27*'Daftar Produk &amp; Harga'!$C$25+Z27*'Daftar Produk &amp; Harga'!$C$26+AA27*'Daftar Produk &amp; Harga'!$C$27+AB27*'Daftar Produk &amp; Harga'!$C$28+AC27*'Daftar Produk &amp; Harga'!$C$29+AD27*'Daftar Produk &amp; Harga'!$C$30+AE27*'Daftar Produk &amp; Harga'!$C$31+AF27*'Daftar Produk &amp; Harga'!$C$32+AG27*'Daftar Produk &amp; Harga'!$C$33+AH27*'Daftar Produk &amp; Harga'!$C$34</x:f>
        <x:v>0</x:v>
      </x:c>
    </x:row>
    <x:row r="28" ht="18" customHeight="1">
      <x:c r="A28" s="178" t="n">
        <x:v>25</x:v>
      </x:c>
      <x:c r="B28" s="179" t="n">
        <x:v>46106</x:v>
      </x:c>
      <x:c r="C28" s="178" t="str">
        <x:v>Rabu</x:v>
      </x:c>
      <x:c r="D28" s="184" t="n">
        <x:v>0</x:v>
      </x:c>
      <x:c r="E28" s="184" t="n">
        <x:v>0</x:v>
      </x:c>
      <x:c r="F28" s="184" t="n">
        <x:v>0</x:v>
      </x:c>
      <x:c r="G28" s="184" t="n">
        <x:v>0</x:v>
      </x:c>
      <x:c r="H28" s="184" t="n">
        <x:v>0</x:v>
      </x:c>
      <x:c r="I28" s="184" t="n">
        <x:v>0</x:v>
      </x:c>
      <x:c r="J28" s="184" t="n">
        <x:v>0</x:v>
      </x:c>
      <x:c r="K28" s="184" t="n">
        <x:v>0</x:v>
      </x:c>
      <x:c r="L28" s="184" t="n">
        <x:v>0</x:v>
      </x:c>
      <x:c r="M28" s="184" t="n">
        <x:v>0</x:v>
      </x:c>
      <x:c r="N28" s="186" t="n">
        <x:v>40</x:v>
      </x:c>
      <x:c r="O28" s="186" t="n">
        <x:v>30</x:v>
      </x:c>
      <x:c r="P28" s="186" t="n">
        <x:v>40</x:v>
      </x:c>
      <x:c r="Q28" s="186" t="n">
        <x:v>35</x:v>
      </x:c>
      <x:c r="R28" s="186" t="n">
        <x:v>35</x:v>
      </x:c>
      <x:c r="S28" s="186" t="n">
        <x:v>30</x:v>
      </x:c>
      <x:c r="T28" s="186" t="n">
        <x:v>40</x:v>
      </x:c>
      <x:c r="U28" s="186" t="n">
        <x:v>30</x:v>
      </x:c>
      <x:c r="V28" s="186" t="n">
        <x:v>30</x:v>
      </x:c>
      <x:c r="W28" s="186" t="n">
        <x:v>35</x:v>
      </x:c>
      <x:c r="X28" s="186" t="n">
        <x:v>40</x:v>
      </x:c>
      <x:c r="Y28" s="186" t="n">
        <x:v>35</x:v>
      </x:c>
      <x:c r="Z28" s="186" t="n">
        <x:v>40</x:v>
      </x:c>
      <x:c r="AA28" s="186" t="n">
        <x:v>30</x:v>
      </x:c>
      <x:c r="AB28" s="186" t="n">
        <x:v>30</x:v>
      </x:c>
      <x:c r="AC28" s="186" t="n">
        <x:v>40</x:v>
      </x:c>
      <x:c r="AD28" s="186" t="n">
        <x:v>35</x:v>
      </x:c>
      <x:c r="AE28" s="186" t="n">
        <x:v>30</x:v>
      </x:c>
      <x:c r="AF28" s="186" t="n">
        <x:v>30</x:v>
      </x:c>
      <x:c r="AG28" s="186" t="n">
        <x:v>30</x:v>
      </x:c>
      <x:c r="AH28" s="186" t="n">
        <x:v>30</x:v>
      </x:c>
      <x:c r="AI28" s="188" t="n">
        <x:f>SUM(D28:AH28)</x:f>
        <x:v>715</x:v>
      </x:c>
      <x:c r="AJ28" s="196" t="n">
        <x:f>D28*'Daftar Produk &amp; Harga'!$C$4+E28*'Daftar Produk &amp; Harga'!$C$5+F28*'Daftar Produk &amp; Harga'!$C$6+G28*'Daftar Produk &amp; Harga'!$C$7+H28*'Daftar Produk &amp; Harga'!$C$8+I28*'Daftar Produk &amp; Harga'!$C$9+J28*'Daftar Produk &amp; Harga'!$C$10+K28*'Daftar Produk &amp; Harga'!$C$11+L28*'Daftar Produk &amp; Harga'!$C$12+M28*'Daftar Produk &amp; Harga'!$C$13+N28*'Daftar Produk &amp; Harga'!$C$14+O28*'Daftar Produk &amp; Harga'!$C$15+P28*'Daftar Produk &amp; Harga'!$C$16+Q28*'Daftar Produk &amp; Harga'!$C$17+R28*'Daftar Produk &amp; Harga'!$C$18+S28*'Daftar Produk &amp; Harga'!$C$19+T28*'Daftar Produk &amp; Harga'!$C$20+U28*'Daftar Produk &amp; Harga'!$C$21+V28*'Daftar Produk &amp; Harga'!$C$22+W28*'Daftar Produk &amp; Harga'!$C$23+X28*'Daftar Produk &amp; Harga'!$C$24+Y28*'Daftar Produk &amp; Harga'!$C$25+Z28*'Daftar Produk &amp; Harga'!$C$26+AA28*'Daftar Produk &amp; Harga'!$C$27+AB28*'Daftar Produk &amp; Harga'!$C$28+AC28*'Daftar Produk &amp; Harga'!$C$29+AD28*'Daftar Produk &amp; Harga'!$C$30+AE28*'Daftar Produk &amp; Harga'!$C$31+AF28*'Daftar Produk &amp; Harga'!$C$32+AG28*'Daftar Produk &amp; Harga'!$C$33+AH28*'Daftar Produk &amp; Harga'!$C$34</x:f>
        <x:v>23545000</x:v>
      </x:c>
    </x:row>
    <x:row r="29" ht="18" customHeight="1">
      <x:c r="A29" s="178" t="n">
        <x:v>26</x:v>
      </x:c>
      <x:c r="B29" s="179" t="n">
        <x:v>46107</x:v>
      </x:c>
      <x:c r="C29" s="178" t="str">
        <x:v>Kamis</x:v>
      </x:c>
      <x:c r="D29" s="184" t="n">
        <x:v>0</x:v>
      </x:c>
      <x:c r="E29" s="184" t="n">
        <x:v>0</x:v>
      </x:c>
      <x:c r="F29" s="184" t="n">
        <x:v>0</x:v>
      </x:c>
      <x:c r="G29" s="184" t="n">
        <x:v>0</x:v>
      </x:c>
      <x:c r="H29" s="184" t="n">
        <x:v>0</x:v>
      </x:c>
      <x:c r="I29" s="184" t="n">
        <x:v>0</x:v>
      </x:c>
      <x:c r="J29" s="184" t="n">
        <x:v>0</x:v>
      </x:c>
      <x:c r="K29" s="184" t="n">
        <x:v>0</x:v>
      </x:c>
      <x:c r="L29" s="184" t="n">
        <x:v>0</x:v>
      </x:c>
      <x:c r="M29" s="184" t="n">
        <x:v>0</x:v>
      </x:c>
      <x:c r="N29" s="186" t="n">
        <x:v>35</x:v>
      </x:c>
      <x:c r="O29" s="186" t="n">
        <x:v>40</x:v>
      </x:c>
      <x:c r="P29" s="186" t="n">
        <x:v>40</x:v>
      </x:c>
      <x:c r="Q29" s="186" t="n">
        <x:v>30</x:v>
      </x:c>
      <x:c r="R29" s="186" t="n">
        <x:v>30</x:v>
      </x:c>
      <x:c r="S29" s="186" t="n">
        <x:v>35</x:v>
      </x:c>
      <x:c r="T29" s="186" t="n">
        <x:v>35</x:v>
      </x:c>
      <x:c r="U29" s="186" t="n">
        <x:v>40</x:v>
      </x:c>
      <x:c r="V29" s="186" t="n">
        <x:v>40</x:v>
      </x:c>
      <x:c r="W29" s="186" t="n">
        <x:v>30</x:v>
      </x:c>
      <x:c r="X29" s="186" t="n">
        <x:v>40</x:v>
      </x:c>
      <x:c r="Y29" s="186" t="n">
        <x:v>35</x:v>
      </x:c>
      <x:c r="Z29" s="186" t="n">
        <x:v>35</x:v>
      </x:c>
      <x:c r="AA29" s="186" t="n">
        <x:v>30</x:v>
      </x:c>
      <x:c r="AB29" s="186" t="n">
        <x:v>30</x:v>
      </x:c>
      <x:c r="AC29" s="186" t="n">
        <x:v>30</x:v>
      </x:c>
      <x:c r="AD29" s="186" t="n">
        <x:v>35</x:v>
      </x:c>
      <x:c r="AE29" s="186" t="n">
        <x:v>35</x:v>
      </x:c>
      <x:c r="AF29" s="186" t="n">
        <x:v>35</x:v>
      </x:c>
      <x:c r="AG29" s="186" t="n">
        <x:v>30</x:v>
      </x:c>
      <x:c r="AH29" s="186" t="n">
        <x:v>40</x:v>
      </x:c>
      <x:c r="AI29" s="188" t="n">
        <x:f>SUM(D29:AH29)</x:f>
        <x:v>730</x:v>
      </x:c>
      <x:c r="AJ29" s="196" t="n">
        <x:f>D29*'Daftar Produk &amp; Harga'!$C$4+E29*'Daftar Produk &amp; Harga'!$C$5+F29*'Daftar Produk &amp; Harga'!$C$6+G29*'Daftar Produk &amp; Harga'!$C$7+H29*'Daftar Produk &amp; Harga'!$C$8+I29*'Daftar Produk &amp; Harga'!$C$9+J29*'Daftar Produk &amp; Harga'!$C$10+K29*'Daftar Produk &amp; Harga'!$C$11+L29*'Daftar Produk &amp; Harga'!$C$12+M29*'Daftar Produk &amp; Harga'!$C$13+N29*'Daftar Produk &amp; Harga'!$C$14+O29*'Daftar Produk &amp; Harga'!$C$15+P29*'Daftar Produk &amp; Harga'!$C$16+Q29*'Daftar Produk &amp; Harga'!$C$17+R29*'Daftar Produk &amp; Harga'!$C$18+S29*'Daftar Produk &amp; Harga'!$C$19+T29*'Daftar Produk &amp; Harga'!$C$20+U29*'Daftar Produk &amp; Harga'!$C$21+V29*'Daftar Produk &amp; Harga'!$C$22+W29*'Daftar Produk &amp; Harga'!$C$23+X29*'Daftar Produk &amp; Harga'!$C$24+Y29*'Daftar Produk &amp; Harga'!$C$25+Z29*'Daftar Produk &amp; Harga'!$C$26+AA29*'Daftar Produk &amp; Harga'!$C$27+AB29*'Daftar Produk &amp; Harga'!$C$28+AC29*'Daftar Produk &amp; Harga'!$C$29+AD29*'Daftar Produk &amp; Harga'!$C$30+AE29*'Daftar Produk &amp; Harga'!$C$31+AF29*'Daftar Produk &amp; Harga'!$C$32+AG29*'Daftar Produk &amp; Harga'!$C$33+AH29*'Daftar Produk &amp; Harga'!$C$34</x:f>
        <x:v>23910000</x:v>
      </x:c>
    </x:row>
    <x:row r="30" ht="18" customHeight="1">
      <x:c r="A30" s="178" t="n">
        <x:v>27</x:v>
      </x:c>
      <x:c r="B30" s="179" t="n">
        <x:v>46108</x:v>
      </x:c>
      <x:c r="C30" s="178" t="str">
        <x:v>Jumat</x:v>
      </x:c>
      <x:c r="D30" s="184" t="n">
        <x:v>0</x:v>
      </x:c>
      <x:c r="E30" s="184" t="n">
        <x:v>0</x:v>
      </x:c>
      <x:c r="F30" s="184" t="n">
        <x:v>0</x:v>
      </x:c>
      <x:c r="G30" s="184" t="n">
        <x:v>0</x:v>
      </x:c>
      <x:c r="H30" s="184" t="n">
        <x:v>0</x:v>
      </x:c>
      <x:c r="I30" s="184" t="n">
        <x:v>0</x:v>
      </x:c>
      <x:c r="J30" s="184" t="n">
        <x:v>0</x:v>
      </x:c>
      <x:c r="K30" s="184" t="n">
        <x:v>0</x:v>
      </x:c>
      <x:c r="L30" s="184" t="n">
        <x:v>0</x:v>
      </x:c>
      <x:c r="M30" s="184" t="n">
        <x:v>0</x:v>
      </x:c>
      <x:c r="N30" s="186" t="n">
        <x:v>30</x:v>
      </x:c>
      <x:c r="O30" s="186" t="n">
        <x:v>35</x:v>
      </x:c>
      <x:c r="P30" s="186" t="n">
        <x:v>30</x:v>
      </x:c>
      <x:c r="Q30" s="186" t="n">
        <x:v>35</x:v>
      </x:c>
      <x:c r="R30" s="186" t="n">
        <x:v>40</x:v>
      </x:c>
      <x:c r="S30" s="186" t="n">
        <x:v>35</x:v>
      </x:c>
      <x:c r="T30" s="186" t="n">
        <x:v>30</x:v>
      </x:c>
      <x:c r="U30" s="186" t="n">
        <x:v>40</x:v>
      </x:c>
      <x:c r="V30" s="186" t="n">
        <x:v>40</x:v>
      </x:c>
      <x:c r="W30" s="186" t="n">
        <x:v>35</x:v>
      </x:c>
      <x:c r="X30" s="186" t="n">
        <x:v>35</x:v>
      </x:c>
      <x:c r="Y30" s="186" t="n">
        <x:v>30</x:v>
      </x:c>
      <x:c r="Z30" s="186" t="n">
        <x:v>35</x:v>
      </x:c>
      <x:c r="AA30" s="186" t="n">
        <x:v>35</x:v>
      </x:c>
      <x:c r="AB30" s="186" t="n">
        <x:v>35</x:v>
      </x:c>
      <x:c r="AC30" s="186" t="n">
        <x:v>40</x:v>
      </x:c>
      <x:c r="AD30" s="186" t="n">
        <x:v>35</x:v>
      </x:c>
      <x:c r="AE30" s="186" t="n">
        <x:v>30</x:v>
      </x:c>
      <x:c r="AF30" s="186" t="n">
        <x:v>30</x:v>
      </x:c>
      <x:c r="AG30" s="186" t="n">
        <x:v>30</x:v>
      </x:c>
      <x:c r="AH30" s="186" t="n">
        <x:v>30</x:v>
      </x:c>
      <x:c r="AI30" s="188" t="n">
        <x:f>SUM(D30:AH30)</x:f>
        <x:v>715</x:v>
      </x:c>
      <x:c r="AJ30" s="196" t="n">
        <x:f>D30*'Daftar Produk &amp; Harga'!$C$4+E30*'Daftar Produk &amp; Harga'!$C$5+F30*'Daftar Produk &amp; Harga'!$C$6+G30*'Daftar Produk &amp; Harga'!$C$7+H30*'Daftar Produk &amp; Harga'!$C$8+I30*'Daftar Produk &amp; Harga'!$C$9+J30*'Daftar Produk &amp; Harga'!$C$10+K30*'Daftar Produk &amp; Harga'!$C$11+L30*'Daftar Produk &amp; Harga'!$C$12+M30*'Daftar Produk &amp; Harga'!$C$13+N30*'Daftar Produk &amp; Harga'!$C$14+O30*'Daftar Produk &amp; Harga'!$C$15+P30*'Daftar Produk &amp; Harga'!$C$16+Q30*'Daftar Produk &amp; Harga'!$C$17+R30*'Daftar Produk &amp; Harga'!$C$18+S30*'Daftar Produk &amp; Harga'!$C$19+T30*'Daftar Produk &amp; Harga'!$C$20+U30*'Daftar Produk &amp; Harga'!$C$21+V30*'Daftar Produk &amp; Harga'!$C$22+W30*'Daftar Produk &amp; Harga'!$C$23+X30*'Daftar Produk &amp; Harga'!$C$24+Y30*'Daftar Produk &amp; Harga'!$C$25+Z30*'Daftar Produk &amp; Harga'!$C$26+AA30*'Daftar Produk &amp; Harga'!$C$27+AB30*'Daftar Produk &amp; Harga'!$C$28+AC30*'Daftar Produk &amp; Harga'!$C$29+AD30*'Daftar Produk &amp; Harga'!$C$30+AE30*'Daftar Produk &amp; Harga'!$C$31+AF30*'Daftar Produk &amp; Harga'!$C$32+AG30*'Daftar Produk &amp; Harga'!$C$33+AH30*'Daftar Produk &amp; Harga'!$C$34</x:f>
        <x:v>23010000</x:v>
      </x:c>
    </x:row>
    <x:row r="31" ht="18" customHeight="1">
      <x:c r="A31" s="178" t="n">
        <x:v>28</x:v>
      </x:c>
      <x:c r="B31" s="179" t="n">
        <x:v>46109</x:v>
      </x:c>
      <x:c r="C31" s="178" t="str">
        <x:v>Sabtu</x:v>
      </x:c>
      <x:c r="D31" s="184" t="n">
        <x:v>0</x:v>
      </x:c>
      <x:c r="E31" s="184" t="n">
        <x:v>0</x:v>
      </x:c>
      <x:c r="F31" s="184" t="n">
        <x:v>0</x:v>
      </x:c>
      <x:c r="G31" s="184" t="n">
        <x:v>0</x:v>
      </x:c>
      <x:c r="H31" s="184" t="n">
        <x:v>0</x:v>
      </x:c>
      <x:c r="I31" s="184" t="n">
        <x:v>50</x:v>
      </x:c>
      <x:c r="J31" s="184" t="n">
        <x:v>0</x:v>
      </x:c>
      <x:c r="K31" s="184" t="n">
        <x:v>0</x:v>
      </x:c>
      <x:c r="L31" s="184" t="n">
        <x:v>0</x:v>
      </x:c>
      <x:c r="M31" s="184" t="n">
        <x:v>0</x:v>
      </x:c>
      <x:c r="N31" s="186" t="n">
        <x:v>45</x:v>
      </x:c>
      <x:c r="O31" s="186" t="n">
        <x:v>45</x:v>
      </x:c>
      <x:c r="P31" s="186" t="n">
        <x:v>35</x:v>
      </x:c>
      <x:c r="Q31" s="186" t="n">
        <x:v>40</x:v>
      </x:c>
      <x:c r="R31" s="186" t="n">
        <x:v>40</x:v>
      </x:c>
      <x:c r="S31" s="186" t="n">
        <x:v>45</x:v>
      </x:c>
      <x:c r="T31" s="186" t="n">
        <x:v>40</x:v>
      </x:c>
      <x:c r="U31" s="186" t="n">
        <x:v>35</x:v>
      </x:c>
      <x:c r="V31" s="186" t="n">
        <x:v>45</x:v>
      </x:c>
      <x:c r="W31" s="186" t="n">
        <x:v>35</x:v>
      </x:c>
      <x:c r="X31" s="186" t="n">
        <x:v>45</x:v>
      </x:c>
      <x:c r="Y31" s="186" t="n">
        <x:v>45</x:v>
      </x:c>
      <x:c r="Z31" s="186" t="n">
        <x:v>50</x:v>
      </x:c>
      <x:c r="AA31" s="186" t="n">
        <x:v>45</x:v>
      </x:c>
      <x:c r="AB31" s="186" t="n">
        <x:v>35</x:v>
      </x:c>
      <x:c r="AC31" s="186" t="n">
        <x:v>40</x:v>
      </x:c>
      <x:c r="AD31" s="186" t="n">
        <x:v>45</x:v>
      </x:c>
      <x:c r="AE31" s="186" t="n">
        <x:v>40</x:v>
      </x:c>
      <x:c r="AF31" s="186" t="n">
        <x:v>35</x:v>
      </x:c>
      <x:c r="AG31" s="186" t="n">
        <x:v>50</x:v>
      </x:c>
      <x:c r="AH31" s="186" t="n">
        <x:v>45</x:v>
      </x:c>
      <x:c r="AI31" s="188" t="n">
        <x:f>SUM(D31:AH31)</x:f>
        <x:v>930</x:v>
      </x:c>
      <x:c r="AJ31" s="196" t="n">
        <x:f>D31*'Daftar Produk &amp; Harga'!$C$4+E31*'Daftar Produk &amp; Harga'!$C$5+F31*'Daftar Produk &amp; Harga'!$C$6+G31*'Daftar Produk &amp; Harga'!$C$7+H31*'Daftar Produk &amp; Harga'!$C$8+I31*'Daftar Produk &amp; Harga'!$C$9+J31*'Daftar Produk &amp; Harga'!$C$10+K31*'Daftar Produk &amp; Harga'!$C$11+L31*'Daftar Produk &amp; Harga'!$C$12+M31*'Daftar Produk &amp; Harga'!$C$13+N31*'Daftar Produk &amp; Harga'!$C$14+O31*'Daftar Produk &amp; Harga'!$C$15+P31*'Daftar Produk &amp; Harga'!$C$16+Q31*'Daftar Produk &amp; Harga'!$C$17+R31*'Daftar Produk &amp; Harga'!$C$18+S31*'Daftar Produk &amp; Harga'!$C$19+T31*'Daftar Produk &amp; Harga'!$C$20+U31*'Daftar Produk &amp; Harga'!$C$21+V31*'Daftar Produk &amp; Harga'!$C$22+W31*'Daftar Produk &amp; Harga'!$C$23+X31*'Daftar Produk &amp; Harga'!$C$24+Y31*'Daftar Produk &amp; Harga'!$C$25+Z31*'Daftar Produk &amp; Harga'!$C$26+AA31*'Daftar Produk &amp; Harga'!$C$27+AB31*'Daftar Produk &amp; Harga'!$C$28+AC31*'Daftar Produk &amp; Harga'!$C$29+AD31*'Daftar Produk &amp; Harga'!$C$30+AE31*'Daftar Produk &amp; Harga'!$C$31+AF31*'Daftar Produk &amp; Harga'!$C$32+AG31*'Daftar Produk &amp; Harga'!$C$33+AH31*'Daftar Produk &amp; Harga'!$C$34</x:f>
        <x:v>29685000</x:v>
      </x:c>
    </x:row>
    <x:row r="32" ht="18" customHeight="1">
      <x:c r="A32" s="178" t="n">
        <x:v>29</x:v>
      </x:c>
      <x:c r="B32" s="179" t="n">
        <x:v>46110</x:v>
      </x:c>
      <x:c r="C32" s="178" t="str">
        <x:v>Minggu</x:v>
      </x:c>
      <x:c r="D32" s="184" t="n">
        <x:v>0</x:v>
      </x:c>
      <x:c r="E32" s="184" t="n">
        <x:v>0</x:v>
      </x:c>
      <x:c r="F32" s="184" t="n">
        <x:v>0</x:v>
      </x:c>
      <x:c r="G32" s="184" t="n">
        <x:v>0</x:v>
      </x:c>
      <x:c r="H32" s="184" t="n">
        <x:v>0</x:v>
      </x:c>
      <x:c r="I32" s="184" t="n">
        <x:v>50</x:v>
      </x:c>
      <x:c r="J32" s="184" t="n">
        <x:v>80</x:v>
      </x:c>
      <x:c r="K32" s="184" t="n">
        <x:v>0</x:v>
      </x:c>
      <x:c r="L32" s="184" t="n">
        <x:v>70</x:v>
      </x:c>
      <x:c r="M32" s="184" t="n">
        <x:v>0</x:v>
      </x:c>
      <x:c r="N32" s="186" t="n">
        <x:v>45</x:v>
      </x:c>
      <x:c r="O32" s="186" t="n">
        <x:v>45</x:v>
      </x:c>
      <x:c r="P32" s="186" t="n">
        <x:v>40</x:v>
      </x:c>
      <x:c r="Q32" s="186" t="n">
        <x:v>40</x:v>
      </x:c>
      <x:c r="R32" s="186" t="n">
        <x:v>35</x:v>
      </x:c>
      <x:c r="S32" s="186" t="n">
        <x:v>35</x:v>
      </x:c>
      <x:c r="T32" s="186" t="n">
        <x:v>45</x:v>
      </x:c>
      <x:c r="U32" s="186" t="n">
        <x:v>40</x:v>
      </x:c>
      <x:c r="V32" s="186" t="n">
        <x:v>45</x:v>
      </x:c>
      <x:c r="W32" s="186" t="n">
        <x:v>40</x:v>
      </x:c>
      <x:c r="X32" s="186" t="n">
        <x:v>40</x:v>
      </x:c>
      <x:c r="Y32" s="186" t="n">
        <x:v>45</x:v>
      </x:c>
      <x:c r="Z32" s="186" t="n">
        <x:v>50</x:v>
      </x:c>
      <x:c r="AA32" s="186" t="n">
        <x:v>35</x:v>
      </x:c>
      <x:c r="AB32" s="186" t="n">
        <x:v>40</x:v>
      </x:c>
      <x:c r="AC32" s="186" t="n">
        <x:v>40</x:v>
      </x:c>
      <x:c r="AD32" s="186" t="n">
        <x:v>40</x:v>
      </x:c>
      <x:c r="AE32" s="186" t="n">
        <x:v>35</x:v>
      </x:c>
      <x:c r="AF32" s="186" t="n">
        <x:v>40</x:v>
      </x:c>
      <x:c r="AG32" s="186" t="n">
        <x:v>40</x:v>
      </x:c>
      <x:c r="AH32" s="186" t="n">
        <x:v>40</x:v>
      </x:c>
      <x:c r="AI32" s="188" t="n">
        <x:f>SUM(D32:AH32)</x:f>
        <x:v>1055</x:v>
      </x:c>
      <x:c r="AJ32" s="196" t="n">
        <x:f>D32*'Daftar Produk &amp; Harga'!$C$4+E32*'Daftar Produk &amp; Harga'!$C$5+F32*'Daftar Produk &amp; Harga'!$C$6+G32*'Daftar Produk &amp; Harga'!$C$7+H32*'Daftar Produk &amp; Harga'!$C$8+I32*'Daftar Produk &amp; Harga'!$C$9+J32*'Daftar Produk &amp; Harga'!$C$10+K32*'Daftar Produk &amp; Harga'!$C$11+L32*'Daftar Produk &amp; Harga'!$C$12+M32*'Daftar Produk &amp; Harga'!$C$13+N32*'Daftar Produk &amp; Harga'!$C$14+O32*'Daftar Produk &amp; Harga'!$C$15+P32*'Daftar Produk &amp; Harga'!$C$16+Q32*'Daftar Produk &amp; Harga'!$C$17+R32*'Daftar Produk &amp; Harga'!$C$18+S32*'Daftar Produk &amp; Harga'!$C$19+T32*'Daftar Produk &amp; Harga'!$C$20+U32*'Daftar Produk &amp; Harga'!$C$21+V32*'Daftar Produk &amp; Harga'!$C$22+W32*'Daftar Produk &amp; Harga'!$C$23+X32*'Daftar Produk &amp; Harga'!$C$24+Y32*'Daftar Produk &amp; Harga'!$C$25+Z32*'Daftar Produk &amp; Harga'!$C$26+AA32*'Daftar Produk &amp; Harga'!$C$27+AB32*'Daftar Produk &amp; Harga'!$C$28+AC32*'Daftar Produk &amp; Harga'!$C$29+AD32*'Daftar Produk &amp; Harga'!$C$30+AE32*'Daftar Produk &amp; Harga'!$C$31+AF32*'Daftar Produk &amp; Harga'!$C$32+AG32*'Daftar Produk &amp; Harga'!$C$33+AH32*'Daftar Produk &amp; Harga'!$C$34</x:f>
        <x:v>35485000</x:v>
      </x:c>
    </x:row>
    <x:row r="33" ht="18" customHeight="1">
      <x:c r="A33" s="178" t="n">
        <x:v>30</x:v>
      </x:c>
      <x:c r="B33" s="179" t="n">
        <x:v>46111</x:v>
      </x:c>
      <x:c r="C33" s="178" t="str">
        <x:v>Senin</x:v>
      </x:c>
      <x:c r="D33" s="184" t="n">
        <x:v>0</x:v>
      </x:c>
      <x:c r="E33" s="184" t="n">
        <x:v>0</x:v>
      </x:c>
      <x:c r="F33" s="184" t="n">
        <x:v>0</x:v>
      </x:c>
      <x:c r="G33" s="184" t="n">
        <x:v>0</x:v>
      </x:c>
      <x:c r="H33" s="184" t="n">
        <x:v>120</x:v>
      </x:c>
      <x:c r="I33" s="184" t="n">
        <x:v>0</x:v>
      </x:c>
      <x:c r="J33" s="184" t="n">
        <x:v>90</x:v>
      </x:c>
      <x:c r="K33" s="184" t="n">
        <x:v>0</x:v>
      </x:c>
      <x:c r="L33" s="184" t="n">
        <x:v>70</x:v>
      </x:c>
      <x:c r="M33" s="184" t="n">
        <x:v>0</x:v>
      </x:c>
      <x:c r="N33" s="186" t="n">
        <x:v>35</x:v>
      </x:c>
      <x:c r="O33" s="186" t="n">
        <x:v>35</x:v>
      </x:c>
      <x:c r="P33" s="186" t="n">
        <x:v>40</x:v>
      </x:c>
      <x:c r="Q33" s="186" t="n">
        <x:v>40</x:v>
      </x:c>
      <x:c r="R33" s="186" t="n">
        <x:v>35</x:v>
      </x:c>
      <x:c r="S33" s="186" t="n">
        <x:v>35</x:v>
      </x:c>
      <x:c r="T33" s="186" t="n">
        <x:v>30</x:v>
      </x:c>
      <x:c r="U33" s="186" t="n">
        <x:v>40</x:v>
      </x:c>
      <x:c r="V33" s="186" t="n">
        <x:v>40</x:v>
      </x:c>
      <x:c r="W33" s="186" t="n">
        <x:v>30</x:v>
      </x:c>
      <x:c r="X33" s="186" t="n">
        <x:v>35</x:v>
      </x:c>
      <x:c r="Y33" s="186" t="n">
        <x:v>30</x:v>
      </x:c>
      <x:c r="Z33" s="186" t="n">
        <x:v>30</x:v>
      </x:c>
      <x:c r="AA33" s="186" t="n">
        <x:v>35</x:v>
      </x:c>
      <x:c r="AB33" s="186" t="n">
        <x:v>30</x:v>
      </x:c>
      <x:c r="AC33" s="186" t="n">
        <x:v>35</x:v>
      </x:c>
      <x:c r="AD33" s="186" t="n">
        <x:v>35</x:v>
      </x:c>
      <x:c r="AE33" s="186" t="n">
        <x:v>30</x:v>
      </x:c>
      <x:c r="AF33" s="186" t="n">
        <x:v>30</x:v>
      </x:c>
      <x:c r="AG33" s="186" t="n">
        <x:v>40</x:v>
      </x:c>
      <x:c r="AH33" s="186" t="n">
        <x:v>40</x:v>
      </x:c>
      <x:c r="AI33" s="188" t="n">
        <x:f>SUM(D33:AH33)</x:f>
        <x:v>1010</x:v>
      </x:c>
      <x:c r="AJ33" s="196" t="n">
        <x:f>D33*'Daftar Produk &amp; Harga'!$C$4+E33*'Daftar Produk &amp; Harga'!$C$5+F33*'Daftar Produk &amp; Harga'!$C$6+G33*'Daftar Produk &amp; Harga'!$C$7+H33*'Daftar Produk &amp; Harga'!$C$8+I33*'Daftar Produk &amp; Harga'!$C$9+J33*'Daftar Produk &amp; Harga'!$C$10+K33*'Daftar Produk &amp; Harga'!$C$11+L33*'Daftar Produk &amp; Harga'!$C$12+M33*'Daftar Produk &amp; Harga'!$C$13+N33*'Daftar Produk &amp; Harga'!$C$14+O33*'Daftar Produk &amp; Harga'!$C$15+P33*'Daftar Produk &amp; Harga'!$C$16+Q33*'Daftar Produk &amp; Harga'!$C$17+R33*'Daftar Produk &amp; Harga'!$C$18+S33*'Daftar Produk &amp; Harga'!$C$19+T33*'Daftar Produk &amp; Harga'!$C$20+U33*'Daftar Produk &amp; Harga'!$C$21+V33*'Daftar Produk &amp; Harga'!$C$22+W33*'Daftar Produk &amp; Harga'!$C$23+X33*'Daftar Produk &amp; Harga'!$C$24+Y33*'Daftar Produk &amp; Harga'!$C$25+Z33*'Daftar Produk &amp; Harga'!$C$26+AA33*'Daftar Produk &amp; Harga'!$C$27+AB33*'Daftar Produk &amp; Harga'!$C$28+AC33*'Daftar Produk &amp; Harga'!$C$29+AD33*'Daftar Produk &amp; Harga'!$C$30+AE33*'Daftar Produk &amp; Harga'!$C$31+AF33*'Daftar Produk &amp; Harga'!$C$32+AG33*'Daftar Produk &amp; Harga'!$C$33+AH33*'Daftar Produk &amp; Harga'!$C$34</x:f>
        <x:v>34255000</x:v>
      </x:c>
    </x:row>
    <x:row r="34" ht="18" customHeight="1">
      <x:c r="A34" s="178" t="n">
        <x:v>31</x:v>
      </x:c>
      <x:c r="B34" s="179" t="n">
        <x:v>46112</x:v>
      </x:c>
      <x:c r="C34" s="178" t="str">
        <x:v>Selasa</x:v>
      </x:c>
      <x:c r="D34" s="184" t="n">
        <x:v>0</x:v>
      </x:c>
      <x:c r="E34" s="184" t="n">
        <x:v>0</x:v>
      </x:c>
      <x:c r="F34" s="184" t="n">
        <x:v>0</x:v>
      </x:c>
      <x:c r="G34" s="184" t="n">
        <x:v>0</x:v>
      </x:c>
      <x:c r="H34" s="184" t="n">
        <x:v>130</x:v>
      </x:c>
      <x:c r="I34" s="184" t="n">
        <x:v>0</x:v>
      </x:c>
      <x:c r="J34" s="184" t="n">
        <x:v>90</x:v>
      </x:c>
      <x:c r="K34" s="184" t="n">
        <x:v>0</x:v>
      </x:c>
      <x:c r="L34" s="184" t="n">
        <x:v>80</x:v>
      </x:c>
      <x:c r="M34" s="184" t="n">
        <x:v>0</x:v>
      </x:c>
      <x:c r="N34" s="186" t="n">
        <x:v>35</x:v>
      </x:c>
      <x:c r="O34" s="186" t="n">
        <x:v>30</x:v>
      </x:c>
      <x:c r="P34" s="186" t="n">
        <x:v>30</x:v>
      </x:c>
      <x:c r="Q34" s="186" t="n">
        <x:v>35</x:v>
      </x:c>
      <x:c r="R34" s="186" t="n">
        <x:v>35</x:v>
      </x:c>
      <x:c r="S34" s="186" t="n">
        <x:v>35</x:v>
      </x:c>
      <x:c r="T34" s="186" t="n">
        <x:v>40</x:v>
      </x:c>
      <x:c r="U34" s="186" t="n">
        <x:v>35</x:v>
      </x:c>
      <x:c r="V34" s="186" t="n">
        <x:v>30</x:v>
      </x:c>
      <x:c r="W34" s="186" t="n">
        <x:v>35</x:v>
      </x:c>
      <x:c r="X34" s="186" t="n">
        <x:v>35</x:v>
      </x:c>
      <x:c r="Y34" s="186" t="n">
        <x:v>30</x:v>
      </x:c>
      <x:c r="Z34" s="186" t="n">
        <x:v>35</x:v>
      </x:c>
      <x:c r="AA34" s="186" t="n">
        <x:v>40</x:v>
      </x:c>
      <x:c r="AB34" s="186" t="n">
        <x:v>40</x:v>
      </x:c>
      <x:c r="AC34" s="186" t="n">
        <x:v>40</x:v>
      </x:c>
      <x:c r="AD34" s="186" t="n">
        <x:v>35</x:v>
      </x:c>
      <x:c r="AE34" s="186" t="n">
        <x:v>30</x:v>
      </x:c>
      <x:c r="AF34" s="186" t="n">
        <x:v>30</x:v>
      </x:c>
      <x:c r="AG34" s="186" t="n">
        <x:v>40</x:v>
      </x:c>
      <x:c r="AH34" s="186" t="n">
        <x:v>35</x:v>
      </x:c>
      <x:c r="AI34" s="188" t="n">
        <x:f>SUM(D34:AH34)</x:f>
        <x:v>1030</x:v>
      </x:c>
      <x:c r="AJ34" s="196" t="n">
        <x:f>D34*'Daftar Produk &amp; Harga'!$C$4+E34*'Daftar Produk &amp; Harga'!$C$5+F34*'Daftar Produk &amp; Harga'!$C$6+G34*'Daftar Produk &amp; Harga'!$C$7+H34*'Daftar Produk &amp; Harga'!$C$8+I34*'Daftar Produk &amp; Harga'!$C$9+J34*'Daftar Produk &amp; Harga'!$C$10+K34*'Daftar Produk &amp; Harga'!$C$11+L34*'Daftar Produk &amp; Harga'!$C$12+M34*'Daftar Produk &amp; Harga'!$C$13+N34*'Daftar Produk &amp; Harga'!$C$14+O34*'Daftar Produk &amp; Harga'!$C$15+P34*'Daftar Produk &amp; Harga'!$C$16+Q34*'Daftar Produk &amp; Harga'!$C$17+R34*'Daftar Produk &amp; Harga'!$C$18+S34*'Daftar Produk &amp; Harga'!$C$19+T34*'Daftar Produk &amp; Harga'!$C$20+U34*'Daftar Produk &amp; Harga'!$C$21+V34*'Daftar Produk &amp; Harga'!$C$22+W34*'Daftar Produk &amp; Harga'!$C$23+X34*'Daftar Produk &amp; Harga'!$C$24+Y34*'Daftar Produk &amp; Harga'!$C$25+Z34*'Daftar Produk &amp; Harga'!$C$26+AA34*'Daftar Produk &amp; Harga'!$C$27+AB34*'Daftar Produk &amp; Harga'!$C$28+AC34*'Daftar Produk &amp; Harga'!$C$29+AD34*'Daftar Produk &amp; Harga'!$C$30+AE34*'Daftar Produk &amp; Harga'!$C$31+AF34*'Daftar Produk &amp; Harga'!$C$32+AG34*'Daftar Produk &amp; Harga'!$C$33+AH34*'Daftar Produk &amp; Harga'!$C$34</x:f>
        <x:v>34870000</x:v>
      </x:c>
    </x:row>
    <x:row r="35">
      <x:c r="A35" s="61" t="str">
        <x:v>TOTAL MARET 2026</x:v>
      </x:c>
      <x:c r="B35" s="61"/>
      <x:c r="C35" s="61"/>
      <x:c r="D35" s="62" t="n">
        <x:f>SUM(D4:D34)</x:f>
        <x:v>600</x:v>
      </x:c>
      <x:c r="E35" s="62" t="n">
        <x:f>SUM(E4:E34)</x:f>
        <x:v>540</x:v>
      </x:c>
      <x:c r="F35" s="62" t="n">
        <x:f>SUM(F4:F34)</x:f>
        <x:v>570</x:v>
      </x:c>
      <x:c r="G35" s="62" t="n">
        <x:f>SUM(G4:G34)</x:f>
        <x:v>450</x:v>
      </x:c>
      <x:c r="H35" s="62" t="n">
        <x:f>SUM(H4:H34)</x:f>
        <x:v>730</x:v>
      </x:c>
      <x:c r="I35" s="62" t="n">
        <x:f>SUM(I4:I34)</x:f>
        <x:v>500</x:v>
      </x:c>
      <x:c r="J35" s="62" t="n">
        <x:f>SUM(J4:J34)</x:f>
        <x:v>750</x:v>
      </x:c>
      <x:c r="K35" s="62" t="n">
        <x:f>SUM(K4:K34)</x:f>
        <x:v>620</x:v>
      </x:c>
      <x:c r="L35" s="62" t="n">
        <x:f>SUM(L4:L34)</x:f>
        <x:v>660</x:v>
      </x:c>
      <x:c r="M35" s="62" t="n">
        <x:f>SUM(M4:M34)</x:f>
        <x:v>570</x:v>
      </x:c>
      <x:c r="N35" s="62" t="n">
        <x:f>SUM(N4:N34)</x:f>
        <x:v>1215</x:v>
      </x:c>
      <x:c r="O35" s="62" t="n">
        <x:f>SUM(O4:O34)</x:f>
        <x:v>1170</x:v>
      </x:c>
      <x:c r="P35" s="62" t="n">
        <x:f>SUM(P4:P34)</x:f>
        <x:v>1145</x:v>
      </x:c>
      <x:c r="Q35" s="62" t="n">
        <x:f>SUM(Q4:Q34)</x:f>
        <x:v>1185</x:v>
      </x:c>
      <x:c r="R35" s="62" t="n">
        <x:f>SUM(R4:R34)</x:f>
        <x:v>1115</x:v>
      </x:c>
      <x:c r="S35" s="62" t="n">
        <x:f>SUM(S4:S34)</x:f>
        <x:v>1150</x:v>
      </x:c>
      <x:c r="T35" s="62" t="n">
        <x:f>SUM(T4:T34)</x:f>
        <x:v>1175</x:v>
      </x:c>
      <x:c r="U35" s="62" t="n">
        <x:f>SUM(U4:U34)</x:f>
        <x:v>1180</x:v>
      </x:c>
      <x:c r="V35" s="62" t="n">
        <x:f>SUM(V4:V34)</x:f>
        <x:v>1185</x:v>
      </x:c>
      <x:c r="W35" s="62" t="n">
        <x:f>SUM(W4:W34)</x:f>
        <x:v>1095</x:v>
      </x:c>
      <x:c r="X35" s="62" t="n">
        <x:f>SUM(X4:X34)</x:f>
        <x:v>1145</x:v>
      </x:c>
      <x:c r="Y35" s="62" t="n">
        <x:f>SUM(Y4:Y34)</x:f>
        <x:v>1130</x:v>
      </x:c>
      <x:c r="Z35" s="62" t="n">
        <x:f>SUM(Z4:Z34)</x:f>
        <x:v>1160</x:v>
      </x:c>
      <x:c r="AA35" s="62" t="n">
        <x:f>SUM(AA4:AA34)</x:f>
        <x:v>1175</x:v>
      </x:c>
      <x:c r="AB35" s="62" t="n">
        <x:f>SUM(AB4:AB34)</x:f>
        <x:v>1115</x:v>
      </x:c>
      <x:c r="AC35" s="62" t="n">
        <x:f>SUM(AC4:AC34)</x:f>
        <x:v>1145</x:v>
      </x:c>
      <x:c r="AD35" s="62" t="n">
        <x:f>SUM(AD4:AD34)</x:f>
        <x:v>1165</x:v>
      </x:c>
      <x:c r="AE35" s="62" t="n">
        <x:f>SUM(AE4:AE34)</x:f>
        <x:v>1145</x:v>
      </x:c>
      <x:c r="AF35" s="62" t="n">
        <x:f>SUM(AF4:AF34)</x:f>
        <x:v>1170</x:v>
      </x:c>
      <x:c r="AG35" s="62" t="n">
        <x:f>SUM(AG4:AG34)</x:f>
        <x:v>1170</x:v>
      </x:c>
      <x:c r="AH35" s="62" t="n">
        <x:f>SUM(AH4:AH34)</x:f>
        <x:v>1100</x:v>
      </x:c>
      <x:c r="AI35" s="62" t="n">
        <x:f>SUM(AI4:AI34)</x:f>
        <x:v>30225</x:v>
      </x:c>
      <x:c r="AJ35" s="62" t="n">
        <x:f>SUM(AJ4:AJ34)</x:f>
        <x:v>997415000</x:v>
      </x:c>
    </x:row>
  </x:sheetData>
  <x:mergeCells>
    <x:mergeCell ref="A1:AJ1"/>
    <x:mergeCell ref="A2:AJ2"/>
  </x:mergeCells>
  <x:pageMargins left="0.7" right="0.7" top="0.75" bottom="0.75" header="0.3" footer="0.3"/>
</x:worksheet>
</file>

<file path=xl/worksheets/sheet7.xml><?xml version="1.0" encoding="utf-8"?>
<x:worksheet xmlns:x="http://schemas.openxmlformats.org/spreadsheetml/2006/main">
  <x:sheetFormatPr defaultRowHeight="15"/>
  <x:cols>
    <x:col min="1" max="1" width="6" hidden="0" customWidth="1"/>
    <x:col min="2" max="2" width="13" hidden="0" customWidth="1"/>
    <x:col min="3" max="3" width="11" hidden="0" customWidth="1"/>
    <x:col min="4" max="4" width="15" hidden="0" customWidth="1"/>
    <x:col min="5" max="5" width="15" hidden="0" customWidth="1"/>
    <x:col min="6" max="6" width="15" hidden="0" customWidth="1"/>
    <x:col min="7" max="7" width="15" hidden="0" customWidth="1"/>
    <x:col min="8" max="8" width="15" hidden="0" customWidth="1"/>
    <x:col min="9" max="9" width="15" hidden="0" customWidth="1"/>
    <x:col min="10" max="10" width="15" hidden="0" customWidth="1"/>
    <x:col min="11" max="11" width="15" hidden="0" customWidth="1"/>
    <x:col min="12" max="12" width="15" hidden="0" customWidth="1"/>
    <x:col min="13" max="13" width="15" hidden="0" customWidth="1"/>
    <x:col min="14" max="14" width="15" hidden="0" customWidth="1"/>
    <x:col min="15" max="15" width="15" hidden="0" customWidth="1"/>
    <x:col min="16" max="16" width="15" hidden="0" customWidth="1"/>
    <x:col min="17" max="17" width="15" hidden="0" customWidth="1"/>
    <x:col min="18" max="18" width="15" hidden="0" customWidth="1"/>
    <x:col min="19" max="19" width="15" hidden="0" customWidth="1"/>
    <x:col min="20" max="20" width="15" hidden="0" customWidth="1"/>
    <x:col min="21" max="21" width="15" hidden="0" customWidth="1"/>
    <x:col min="22" max="22" width="15" hidden="0" customWidth="1"/>
    <x:col min="23" max="23" width="15" hidden="0" customWidth="1"/>
    <x:col min="24" max="24" width="15" hidden="0" customWidth="1"/>
    <x:col min="25" max="25" width="15" hidden="0" customWidth="1"/>
    <x:col min="26" max="26" width="15" hidden="0" customWidth="1"/>
    <x:col min="27" max="27" width="15" hidden="0" customWidth="1"/>
    <x:col min="28" max="28" width="15" hidden="0" customWidth="1"/>
    <x:col min="29" max="29" width="15" hidden="0" customWidth="1"/>
    <x:col min="30" max="30" width="15" hidden="0" customWidth="1"/>
    <x:col min="31" max="31" width="15" hidden="0" customWidth="1"/>
    <x:col min="32" max="32" width="15" hidden="0" customWidth="1"/>
    <x:col min="33" max="33" width="15" hidden="0" customWidth="1"/>
    <x:col min="34" max="34" width="15" hidden="0" customWidth="1"/>
    <x:col min="35" max="35" width="13" hidden="0" customWidth="1"/>
    <x:col min="36" max="36" width="20" hidden="0" customWidth="1"/>
  </x:cols>
  <x:sheetData>
    <x:row r="1" ht="28" customHeight="1">
      <x:c r="A1" s="102" t="str">
        <x:v>DELLA FROZEN MART – DATA PENJUALAN HARIAN 31 PRODUK | APRIL 2026</x:v>
      </x:c>
      <x:c r="B1" s="102"/>
      <x:c r="C1" s="102"/>
      <x:c r="D1" s="102"/>
      <x:c r="E1" s="102"/>
      <x:c r="F1" s="102"/>
      <x:c r="G1" s="102"/>
      <x:c r="H1" s="102"/>
      <x:c r="I1" s="102"/>
      <x:c r="J1" s="102"/>
      <x:c r="K1" s="102"/>
      <x:c r="L1" s="102"/>
      <x:c r="M1" s="102"/>
      <x:c r="N1" s="102"/>
      <x:c r="O1" s="102"/>
      <x:c r="P1" s="102"/>
      <x:c r="Q1" s="102"/>
      <x:c r="R1" s="102"/>
      <x:c r="S1" s="102"/>
      <x:c r="T1" s="102"/>
      <x:c r="U1" s="102"/>
      <x:c r="V1" s="102"/>
      <x:c r="W1" s="102"/>
      <x:c r="X1" s="102"/>
      <x:c r="Y1" s="102"/>
      <x:c r="Z1" s="102"/>
      <x:c r="AA1" s="102"/>
      <x:c r="AB1" s="102"/>
      <x:c r="AC1" s="102"/>
      <x:c r="AD1" s="102"/>
      <x:c r="AE1" s="102"/>
      <x:c r="AF1" s="102"/>
      <x:c r="AG1" s="102"/>
      <x:c r="AH1" s="102"/>
      <x:c r="AI1" s="102"/>
      <x:c r="AJ1" s="102"/>
    </x:row>
    <x:row r="2" ht="22" customHeight="1">
      <x:c r="A2" s="145" t="str">
        <x:v>Gabungan 10 produk data dasar dan 21 produk simulasi tambahan. Lihat sheet 'Metodologi &amp; Disclaimer'.</x:v>
      </x:c>
      <x:c r="B2" s="145"/>
      <x:c r="C2" s="145"/>
      <x:c r="D2" s="145"/>
      <x:c r="E2" s="145"/>
      <x:c r="F2" s="145"/>
      <x:c r="G2" s="145"/>
      <x:c r="H2" s="145"/>
      <x:c r="I2" s="145"/>
      <x:c r="J2" s="145"/>
      <x:c r="K2" s="145"/>
      <x:c r="L2" s="145"/>
      <x:c r="M2" s="145"/>
      <x:c r="N2" s="145"/>
      <x:c r="O2" s="145"/>
      <x:c r="P2" s="145"/>
      <x:c r="Q2" s="145"/>
      <x:c r="R2" s="145"/>
      <x:c r="S2" s="145"/>
      <x:c r="T2" s="145"/>
      <x:c r="U2" s="145"/>
      <x:c r="V2" s="145"/>
      <x:c r="W2" s="145"/>
      <x:c r="X2" s="145"/>
      <x:c r="Y2" s="145"/>
      <x:c r="Z2" s="145"/>
      <x:c r="AA2" s="145"/>
      <x:c r="AB2" s="145"/>
      <x:c r="AC2" s="145"/>
      <x:c r="AD2" s="145"/>
      <x:c r="AE2" s="145"/>
      <x:c r="AF2" s="145"/>
      <x:c r="AG2" s="145"/>
      <x:c r="AH2" s="145"/>
      <x:c r="AI2" s="145"/>
      <x:c r="AJ2" s="145"/>
    </x:row>
    <x:row r="3" ht="58" customHeight="1">
      <x:c r="A3" s="53" t="str">
        <x:v>No</x:v>
      </x:c>
      <x:c r="B3" s="53" t="str">
        <x:v>Tanggal</x:v>
      </x:c>
      <x:c r="C3" s="53" t="str">
        <x:v>Hari</x:v>
      </x:c>
      <x:c r="D3" s="156" t="str">
        <x:v>Okey Sosis 500GR</x:v>
      </x:c>
      <x:c r="E3" s="156" t="str">
        <x:v>Fiesta Chicken Nugget 450GR</x:v>
      </x:c>
      <x:c r="F3" s="156" t="str">
        <x:v>Jamur Enoki</x:v>
      </x:c>
      <x:c r="G3" s="156" t="str">
        <x:v>Meru Lapis Bogor</x:v>
      </x:c>
      <x:c r="H3" s="156" t="str">
        <x:v>Okey Nugget Stik 500GR</x:v>
      </x:c>
      <x:c r="I3" s="156" t="str">
        <x:v>Cireng Rujak</x:v>
      </x:c>
      <x:c r="J3" s="156" t="str">
        <x:v>Salam Nugget 500GR</x:v>
      </x:c>
      <x:c r="K3" s="156" t="str">
        <x:v>Warisan Isi 50</x:v>
      </x:c>
      <x:c r="L3" s="156" t="str">
        <x:v>Belfood Sosis Isi 30</x:v>
      </x:c>
      <x:c r="M3" s="156" t="str">
        <x:v>Richeese Nugget</x:v>
      </x:c>
      <x:c r="N3" s="166" t="str">
        <x:v>Nugget Ayam Original 500g</x:v>
      </x:c>
      <x:c r="O3" s="166" t="str">
        <x:v>Nugget Ayam Crispy 400g</x:v>
      </x:c>
      <x:c r="P3" s="166" t="str">
        <x:v>Champ Nugget Kombinasi 450GR</x:v>
      </x:c>
      <x:c r="Q3" s="166" t="str">
        <x:v>Chicken Nugget Stick 250g</x:v>
      </x:c>
      <x:c r="R3" s="166" t="str">
        <x:v>Chicken Nugget Stick 500g</x:v>
      </x:c>
      <x:c r="S3" s="166" t="str">
        <x:v>Bakso Soni</x:v>
      </x:c>
      <x:c r="T3" s="166" t="str">
        <x:v>Spicy Chicken Wings 500g</x:v>
      </x:c>
      <x:c r="U3" s="166" t="str">
        <x:v>Sosis Ayam Besar 360g</x:v>
      </x:c>
      <x:c r="V3" s="166" t="str">
        <x:v>Sosis Sapi Jumbo 500g</x:v>
      </x:c>
      <x:c r="W3" s="166" t="str">
        <x:v>Sosis Kanzler Beef 500g</x:v>
      </x:c>
      <x:c r="X3" s="166" t="str">
        <x:v>Sosis Kanzler Cheese 300g</x:v>
      </x:c>
      <x:c r="Y3" s="166" t="str">
        <x:v>Sosis Kanzler Cheese 500g</x:v>
      </x:c>
      <x:c r="Z3" s="166" t="str">
        <x:v>Bakso Sapi Jumbo 500g</x:v>
      </x:c>
      <x:c r="AA3" s="166" t="str">
        <x:v>Warisan Isi 25</x:v>
      </x:c>
      <x:c r="AB3" s="166" t="str">
        <x:v>Onion Ring Frozen 250g</x:v>
      </x:c>
      <x:c r="AC3" s="166" t="str">
        <x:v>Onion Ring Frozen 500g</x:v>
      </x:c>
      <x:c r="AD3" s="166" t="str">
        <x:v>Champ Sosis Sapi 375 gr</x:v>
      </x:c>
      <x:c r="AE3" s="166" t="str">
        <x:v>Sallam Nugget 250 gr</x:v>
      </x:c>
      <x:c r="AF3" s="166" t="str">
        <x:v>Sallam Bakso Sapi 500 gr</x:v>
      </x:c>
      <x:c r="AG3" s="166" t="str">
        <x:v>Fiesta Kentang 500 gr</x:v>
      </x:c>
      <x:c r="AH3" s="166" t="str">
        <x:v>Belfood Chicken Nugget 500gr</x:v>
      </x:c>
      <x:c r="AI3" s="28" t="str">
        <x:v>Total Qty</x:v>
      </x:c>
      <x:c r="AJ3" s="28" t="str">
        <x:v>Total Penjualan (Rp)</x:v>
      </x:c>
    </x:row>
    <x:row r="4" ht="18" customHeight="1">
      <x:c r="A4" s="178" t="n">
        <x:v>1</x:v>
      </x:c>
      <x:c r="B4" s="179" t="n">
        <x:v>46113</x:v>
      </x:c>
      <x:c r="C4" s="178" t="str">
        <x:v>Rabu</x:v>
      </x:c>
      <x:c r="D4" s="184" t="n">
        <x:v>0</x:v>
      </x:c>
      <x:c r="E4" s="184" t="n">
        <x:v>0</x:v>
      </x:c>
      <x:c r="F4" s="184" t="n">
        <x:v>0</x:v>
      </x:c>
      <x:c r="G4" s="184" t="n">
        <x:v>0</x:v>
      </x:c>
      <x:c r="H4" s="184" t="n">
        <x:v>0</x:v>
      </x:c>
      <x:c r="I4" s="184" t="n">
        <x:v>0</x:v>
      </x:c>
      <x:c r="J4" s="184" t="n">
        <x:v>40</x:v>
      </x:c>
      <x:c r="K4" s="184" t="n">
        <x:v>0</x:v>
      </x:c>
      <x:c r="L4" s="184" t="n">
        <x:v>0</x:v>
      </x:c>
      <x:c r="M4" s="184" t="n">
        <x:v>0</x:v>
      </x:c>
      <x:c r="N4" s="186" t="n">
        <x:v>40</x:v>
      </x:c>
      <x:c r="O4" s="186" t="n">
        <x:v>30</x:v>
      </x:c>
      <x:c r="P4" s="186" t="n">
        <x:v>35</x:v>
      </x:c>
      <x:c r="Q4" s="186" t="n">
        <x:v>30</x:v>
      </x:c>
      <x:c r="R4" s="186" t="n">
        <x:v>30</x:v>
      </x:c>
      <x:c r="S4" s="186" t="n">
        <x:v>30</x:v>
      </x:c>
      <x:c r="T4" s="186" t="n">
        <x:v>35</x:v>
      </x:c>
      <x:c r="U4" s="186" t="n">
        <x:v>30</x:v>
      </x:c>
      <x:c r="V4" s="186" t="n">
        <x:v>40</x:v>
      </x:c>
      <x:c r="W4" s="186" t="n">
        <x:v>30</x:v>
      </x:c>
      <x:c r="X4" s="186" t="n">
        <x:v>30</x:v>
      </x:c>
      <x:c r="Y4" s="186" t="n">
        <x:v>40</x:v>
      </x:c>
      <x:c r="Z4" s="186" t="n">
        <x:v>30</x:v>
      </x:c>
      <x:c r="AA4" s="186" t="n">
        <x:v>35</x:v>
      </x:c>
      <x:c r="AB4" s="186" t="n">
        <x:v>40</x:v>
      </x:c>
      <x:c r="AC4" s="186" t="n">
        <x:v>30</x:v>
      </x:c>
      <x:c r="AD4" s="186" t="n">
        <x:v>30</x:v>
      </x:c>
      <x:c r="AE4" s="186" t="n">
        <x:v>30</x:v>
      </x:c>
      <x:c r="AF4" s="186" t="n">
        <x:v>40</x:v>
      </x:c>
      <x:c r="AG4" s="186" t="n">
        <x:v>35</x:v>
      </x:c>
      <x:c r="AH4" s="186" t="n">
        <x:v>40</x:v>
      </x:c>
      <x:c r="AI4" s="188" t="n">
        <x:f>SUM(D4:AH4)</x:f>
        <x:v>750</x:v>
      </x:c>
      <x:c r="AJ4" s="196" t="n">
        <x:f>D4*'Daftar Produk &amp; Harga'!$C$4+E4*'Daftar Produk &amp; Harga'!$C$5+F4*'Daftar Produk &amp; Harga'!$C$6+G4*'Daftar Produk &amp; Harga'!$C$7+H4*'Daftar Produk &amp; Harga'!$C$8+I4*'Daftar Produk &amp; Harga'!$C$9+J4*'Daftar Produk &amp; Harga'!$C$10+K4*'Daftar Produk &amp; Harga'!$C$11+L4*'Daftar Produk &amp; Harga'!$C$12+M4*'Daftar Produk &amp; Harga'!$C$13+N4*'Daftar Produk &amp; Harga'!$C$14+O4*'Daftar Produk &amp; Harga'!$C$15+P4*'Daftar Produk &amp; Harga'!$C$16+Q4*'Daftar Produk &amp; Harga'!$C$17+R4*'Daftar Produk &amp; Harga'!$C$18+S4*'Daftar Produk &amp; Harga'!$C$19+T4*'Daftar Produk &amp; Harga'!$C$20+U4*'Daftar Produk &amp; Harga'!$C$21+V4*'Daftar Produk &amp; Harga'!$C$22+W4*'Daftar Produk &amp; Harga'!$C$23+X4*'Daftar Produk &amp; Harga'!$C$24+Y4*'Daftar Produk &amp; Harga'!$C$25+Z4*'Daftar Produk &amp; Harga'!$C$26+AA4*'Daftar Produk &amp; Harga'!$C$27+AB4*'Daftar Produk &amp; Harga'!$C$28+AC4*'Daftar Produk &amp; Harga'!$C$29+AD4*'Daftar Produk &amp; Harga'!$C$30+AE4*'Daftar Produk &amp; Harga'!$C$31+AF4*'Daftar Produk &amp; Harga'!$C$32+AG4*'Daftar Produk &amp; Harga'!$C$33+AH4*'Daftar Produk &amp; Harga'!$C$34</x:f>
        <x:v>24655000</x:v>
      </x:c>
    </x:row>
    <x:row r="5" ht="18" customHeight="1">
      <x:c r="A5" s="178" t="n">
        <x:v>2</x:v>
      </x:c>
      <x:c r="B5" s="179" t="n">
        <x:v>46114</x:v>
      </x:c>
      <x:c r="C5" s="178" t="str">
        <x:v>Kamis</x:v>
      </x:c>
      <x:c r="D5" s="184" t="n">
        <x:v>40</x:v>
      </x:c>
      <x:c r="E5" s="184" t="n">
        <x:v>0</x:v>
      </x:c>
      <x:c r="F5" s="184" t="n">
        <x:v>0</x:v>
      </x:c>
      <x:c r="G5" s="184" t="n">
        <x:v>0</x:v>
      </x:c>
      <x:c r="H5" s="184" t="n">
        <x:v>0</x:v>
      </x:c>
      <x:c r="I5" s="184" t="n">
        <x:v>0</x:v>
      </x:c>
      <x:c r="J5" s="184" t="n">
        <x:v>40</x:v>
      </x:c>
      <x:c r="K5" s="184" t="n">
        <x:v>0</x:v>
      </x:c>
      <x:c r="L5" s="184" t="n">
        <x:v>0</x:v>
      </x:c>
      <x:c r="M5" s="184" t="n">
        <x:v>0</x:v>
      </x:c>
      <x:c r="N5" s="186" t="n">
        <x:v>40</x:v>
      </x:c>
      <x:c r="O5" s="186" t="n">
        <x:v>30</x:v>
      </x:c>
      <x:c r="P5" s="186" t="n">
        <x:v>40</x:v>
      </x:c>
      <x:c r="Q5" s="186" t="n">
        <x:v>35</x:v>
      </x:c>
      <x:c r="R5" s="186" t="n">
        <x:v>30</x:v>
      </x:c>
      <x:c r="S5" s="186" t="n">
        <x:v>30</x:v>
      </x:c>
      <x:c r="T5" s="186" t="n">
        <x:v>35</x:v>
      </x:c>
      <x:c r="U5" s="186" t="n">
        <x:v>30</x:v>
      </x:c>
      <x:c r="V5" s="186" t="n">
        <x:v>40</x:v>
      </x:c>
      <x:c r="W5" s="186" t="n">
        <x:v>35</x:v>
      </x:c>
      <x:c r="X5" s="186" t="n">
        <x:v>30</x:v>
      </x:c>
      <x:c r="Y5" s="186" t="n">
        <x:v>30</x:v>
      </x:c>
      <x:c r="Z5" s="186" t="n">
        <x:v>30</x:v>
      </x:c>
      <x:c r="AA5" s="186" t="n">
        <x:v>40</x:v>
      </x:c>
      <x:c r="AB5" s="186" t="n">
        <x:v>35</x:v>
      </x:c>
      <x:c r="AC5" s="186" t="n">
        <x:v>35</x:v>
      </x:c>
      <x:c r="AD5" s="186" t="n">
        <x:v>40</x:v>
      </x:c>
      <x:c r="AE5" s="186" t="n">
        <x:v>35</x:v>
      </x:c>
      <x:c r="AF5" s="186" t="n">
        <x:v>40</x:v>
      </x:c>
      <x:c r="AG5" s="186" t="n">
        <x:v>40</x:v>
      </x:c>
      <x:c r="AH5" s="186" t="n">
        <x:v>40</x:v>
      </x:c>
      <x:c r="AI5" s="188" t="n">
        <x:f>SUM(D5:AH5)</x:f>
        <x:v>820</x:v>
      </x:c>
      <x:c r="AJ5" s="196" t="n">
        <x:f>D5*'Daftar Produk &amp; Harga'!$C$4+E5*'Daftar Produk &amp; Harga'!$C$5+F5*'Daftar Produk &amp; Harga'!$C$6+G5*'Daftar Produk &amp; Harga'!$C$7+H5*'Daftar Produk &amp; Harga'!$C$8+I5*'Daftar Produk &amp; Harga'!$C$9+J5*'Daftar Produk &amp; Harga'!$C$10+K5*'Daftar Produk &amp; Harga'!$C$11+L5*'Daftar Produk &amp; Harga'!$C$12+M5*'Daftar Produk &amp; Harga'!$C$13+N5*'Daftar Produk &amp; Harga'!$C$14+O5*'Daftar Produk &amp; Harga'!$C$15+P5*'Daftar Produk &amp; Harga'!$C$16+Q5*'Daftar Produk &amp; Harga'!$C$17+R5*'Daftar Produk &amp; Harga'!$C$18+S5*'Daftar Produk &amp; Harga'!$C$19+T5*'Daftar Produk &amp; Harga'!$C$20+U5*'Daftar Produk &amp; Harga'!$C$21+V5*'Daftar Produk &amp; Harga'!$C$22+W5*'Daftar Produk &amp; Harga'!$C$23+X5*'Daftar Produk &amp; Harga'!$C$24+Y5*'Daftar Produk &amp; Harga'!$C$25+Z5*'Daftar Produk &amp; Harga'!$C$26+AA5*'Daftar Produk &amp; Harga'!$C$27+AB5*'Daftar Produk &amp; Harga'!$C$28+AC5*'Daftar Produk &amp; Harga'!$C$29+AD5*'Daftar Produk &amp; Harga'!$C$30+AE5*'Daftar Produk &amp; Harga'!$C$31+AF5*'Daftar Produk &amp; Harga'!$C$32+AG5*'Daftar Produk &amp; Harga'!$C$33+AH5*'Daftar Produk &amp; Harga'!$C$34</x:f>
        <x:v>26105000</x:v>
      </x:c>
    </x:row>
    <x:row r="6" ht="18" customHeight="1">
      <x:c r="A6" s="178" t="n">
        <x:v>3</x:v>
      </x:c>
      <x:c r="B6" s="179" t="n">
        <x:v>46115</x:v>
      </x:c>
      <x:c r="C6" s="178" t="str">
        <x:v>Jumat</x:v>
      </x:c>
      <x:c r="D6" s="184" t="n">
        <x:v>40</x:v>
      </x:c>
      <x:c r="E6" s="184" t="n">
        <x:v>0</x:v>
      </x:c>
      <x:c r="F6" s="184" t="n">
        <x:v>40</x:v>
      </x:c>
      <x:c r="G6" s="184" t="n">
        <x:v>0</x:v>
      </x:c>
      <x:c r="H6" s="184" t="n">
        <x:v>0</x:v>
      </x:c>
      <x:c r="I6" s="184" t="n">
        <x:v>0</x:v>
      </x:c>
      <x:c r="J6" s="184" t="n">
        <x:v>40</x:v>
      </x:c>
      <x:c r="K6" s="184" t="n">
        <x:v>0</x:v>
      </x:c>
      <x:c r="L6" s="184" t="n">
        <x:v>0</x:v>
      </x:c>
      <x:c r="M6" s="184" t="n">
        <x:v>0</x:v>
      </x:c>
      <x:c r="N6" s="186" t="n">
        <x:v>35</x:v>
      </x:c>
      <x:c r="O6" s="186" t="n">
        <x:v>35</x:v>
      </x:c>
      <x:c r="P6" s="186" t="n">
        <x:v>35</x:v>
      </x:c>
      <x:c r="Q6" s="186" t="n">
        <x:v>30</x:v>
      </x:c>
      <x:c r="R6" s="186" t="n">
        <x:v>40</x:v>
      </x:c>
      <x:c r="S6" s="186" t="n">
        <x:v>40</x:v>
      </x:c>
      <x:c r="T6" s="186" t="n">
        <x:v>40</x:v>
      </x:c>
      <x:c r="U6" s="186" t="n">
        <x:v>30</x:v>
      </x:c>
      <x:c r="V6" s="186" t="n">
        <x:v>35</x:v>
      </x:c>
      <x:c r="W6" s="186" t="n">
        <x:v>35</x:v>
      </x:c>
      <x:c r="X6" s="186" t="n">
        <x:v>30</x:v>
      </x:c>
      <x:c r="Y6" s="186" t="n">
        <x:v>35</x:v>
      </x:c>
      <x:c r="Z6" s="186" t="n">
        <x:v>40</x:v>
      </x:c>
      <x:c r="AA6" s="186" t="n">
        <x:v>40</x:v>
      </x:c>
      <x:c r="AB6" s="186" t="n">
        <x:v>30</x:v>
      </x:c>
      <x:c r="AC6" s="186" t="n">
        <x:v>30</x:v>
      </x:c>
      <x:c r="AD6" s="186" t="n">
        <x:v>35</x:v>
      </x:c>
      <x:c r="AE6" s="186" t="n">
        <x:v>35</x:v>
      </x:c>
      <x:c r="AF6" s="186" t="n">
        <x:v>35</x:v>
      </x:c>
      <x:c r="AG6" s="186" t="n">
        <x:v>35</x:v>
      </x:c>
      <x:c r="AH6" s="186" t="n">
        <x:v>40</x:v>
      </x:c>
      <x:c r="AI6" s="188" t="n">
        <x:f>SUM(D6:AH6)</x:f>
        <x:v>860</x:v>
      </x:c>
      <x:c r="AJ6" s="196" t="n">
        <x:f>D6*'Daftar Produk &amp; Harga'!$C$4+E6*'Daftar Produk &amp; Harga'!$C$5+F6*'Daftar Produk &amp; Harga'!$C$6+G6*'Daftar Produk &amp; Harga'!$C$7+H6*'Daftar Produk &amp; Harga'!$C$8+I6*'Daftar Produk &amp; Harga'!$C$9+J6*'Daftar Produk &amp; Harga'!$C$10+K6*'Daftar Produk &amp; Harga'!$C$11+L6*'Daftar Produk &amp; Harga'!$C$12+M6*'Daftar Produk &amp; Harga'!$C$13+N6*'Daftar Produk &amp; Harga'!$C$14+O6*'Daftar Produk &amp; Harga'!$C$15+P6*'Daftar Produk &amp; Harga'!$C$16+Q6*'Daftar Produk &amp; Harga'!$C$17+R6*'Daftar Produk &amp; Harga'!$C$18+S6*'Daftar Produk &amp; Harga'!$C$19+T6*'Daftar Produk &amp; Harga'!$C$20+U6*'Daftar Produk &amp; Harga'!$C$21+V6*'Daftar Produk &amp; Harga'!$C$22+W6*'Daftar Produk &amp; Harga'!$C$23+X6*'Daftar Produk &amp; Harga'!$C$24+Y6*'Daftar Produk &amp; Harga'!$C$25+Z6*'Daftar Produk &amp; Harga'!$C$26+AA6*'Daftar Produk &amp; Harga'!$C$27+AB6*'Daftar Produk &amp; Harga'!$C$28+AC6*'Daftar Produk &amp; Harga'!$C$29+AD6*'Daftar Produk &amp; Harga'!$C$30+AE6*'Daftar Produk &amp; Harga'!$C$31+AF6*'Daftar Produk &amp; Harga'!$C$32+AG6*'Daftar Produk &amp; Harga'!$C$33+AH6*'Daftar Produk &amp; Harga'!$C$34</x:f>
        <x:v>26910000</x:v>
      </x:c>
    </x:row>
    <x:row r="7" ht="18" customHeight="1">
      <x:c r="A7" s="178" t="n">
        <x:v>4</x:v>
      </x:c>
      <x:c r="B7" s="179" t="n">
        <x:v>46116</x:v>
      </x:c>
      <x:c r="C7" s="178" t="str">
        <x:v>Sabtu</x:v>
      </x:c>
      <x:c r="D7" s="184" t="n">
        <x:v>40</x:v>
      </x:c>
      <x:c r="E7" s="184" t="n">
        <x:v>40</x:v>
      </x:c>
      <x:c r="F7" s="184" t="n">
        <x:v>40</x:v>
      </x:c>
      <x:c r="G7" s="184" t="n">
        <x:v>0</x:v>
      </x:c>
      <x:c r="H7" s="184" t="n">
        <x:v>0</x:v>
      </x:c>
      <x:c r="I7" s="184" t="n">
        <x:v>0</x:v>
      </x:c>
      <x:c r="J7" s="184" t="n">
        <x:v>50</x:v>
      </x:c>
      <x:c r="K7" s="184" t="n">
        <x:v>0</x:v>
      </x:c>
      <x:c r="L7" s="184" t="n">
        <x:v>0</x:v>
      </x:c>
      <x:c r="M7" s="184" t="n">
        <x:v>0</x:v>
      </x:c>
      <x:c r="N7" s="186" t="n">
        <x:v>35</x:v>
      </x:c>
      <x:c r="O7" s="186" t="n">
        <x:v>40</x:v>
      </x:c>
      <x:c r="P7" s="186" t="n">
        <x:v>45</x:v>
      </x:c>
      <x:c r="Q7" s="186" t="n">
        <x:v>40</x:v>
      </x:c>
      <x:c r="R7" s="186" t="n">
        <x:v>45</x:v>
      </x:c>
      <x:c r="S7" s="186" t="n">
        <x:v>45</x:v>
      </x:c>
      <x:c r="T7" s="186" t="n">
        <x:v>50</x:v>
      </x:c>
      <x:c r="U7" s="186" t="n">
        <x:v>40</x:v>
      </x:c>
      <x:c r="V7" s="186" t="n">
        <x:v>40</x:v>
      </x:c>
      <x:c r="W7" s="186" t="n">
        <x:v>40</x:v>
      </x:c>
      <x:c r="X7" s="186" t="n">
        <x:v>50</x:v>
      </x:c>
      <x:c r="Y7" s="186" t="n">
        <x:v>45</x:v>
      </x:c>
      <x:c r="Z7" s="186" t="n">
        <x:v>40</x:v>
      </x:c>
      <x:c r="AA7" s="186" t="n">
        <x:v>35</x:v>
      </x:c>
      <x:c r="AB7" s="186" t="n">
        <x:v>50</x:v>
      </x:c>
      <x:c r="AC7" s="186" t="n">
        <x:v>35</x:v>
      </x:c>
      <x:c r="AD7" s="186" t="n">
        <x:v>40</x:v>
      </x:c>
      <x:c r="AE7" s="186" t="n">
        <x:v>45</x:v>
      </x:c>
      <x:c r="AF7" s="186" t="n">
        <x:v>45</x:v>
      </x:c>
      <x:c r="AG7" s="186" t="n">
        <x:v>45</x:v>
      </x:c>
      <x:c r="AH7" s="186" t="n">
        <x:v>50</x:v>
      </x:c>
      <x:c r="AI7" s="188" t="n">
        <x:f>SUM(D7:AH7)</x:f>
        <x:v>1070</x:v>
      </x:c>
      <x:c r="AJ7" s="196" t="n">
        <x:f>D7*'Daftar Produk &amp; Harga'!$C$4+E7*'Daftar Produk &amp; Harga'!$C$5+F7*'Daftar Produk &amp; Harga'!$C$6+G7*'Daftar Produk &amp; Harga'!$C$7+H7*'Daftar Produk &amp; Harga'!$C$8+I7*'Daftar Produk &amp; Harga'!$C$9+J7*'Daftar Produk &amp; Harga'!$C$10+K7*'Daftar Produk &amp; Harga'!$C$11+L7*'Daftar Produk &amp; Harga'!$C$12+M7*'Daftar Produk &amp; Harga'!$C$13+N7*'Daftar Produk &amp; Harga'!$C$14+O7*'Daftar Produk &amp; Harga'!$C$15+P7*'Daftar Produk &amp; Harga'!$C$16+Q7*'Daftar Produk &amp; Harga'!$C$17+R7*'Daftar Produk &amp; Harga'!$C$18+S7*'Daftar Produk &amp; Harga'!$C$19+T7*'Daftar Produk &amp; Harga'!$C$20+U7*'Daftar Produk &amp; Harga'!$C$21+V7*'Daftar Produk &amp; Harga'!$C$22+W7*'Daftar Produk &amp; Harga'!$C$23+X7*'Daftar Produk &amp; Harga'!$C$24+Y7*'Daftar Produk &amp; Harga'!$C$25+Z7*'Daftar Produk &amp; Harga'!$C$26+AA7*'Daftar Produk &amp; Harga'!$C$27+AB7*'Daftar Produk &amp; Harga'!$C$28+AC7*'Daftar Produk &amp; Harga'!$C$29+AD7*'Daftar Produk &amp; Harga'!$C$30+AE7*'Daftar Produk &amp; Harga'!$C$31+AF7*'Daftar Produk &amp; Harga'!$C$32+AG7*'Daftar Produk &amp; Harga'!$C$33+AH7*'Daftar Produk &amp; Harga'!$C$34</x:f>
        <x:v>33770000</x:v>
      </x:c>
    </x:row>
    <x:row r="8" ht="18" customHeight="1">
      <x:c r="A8" s="178" t="n">
        <x:v>5</x:v>
      </x:c>
      <x:c r="B8" s="179" t="n">
        <x:v>46117</x:v>
      </x:c>
      <x:c r="C8" s="178" t="str">
        <x:v>Minggu</x:v>
      </x:c>
      <x:c r="D8" s="184" t="n">
        <x:v>50</x:v>
      </x:c>
      <x:c r="E8" s="184" t="n">
        <x:v>40</x:v>
      </x:c>
      <x:c r="F8" s="184" t="n">
        <x:v>40</x:v>
      </x:c>
      <x:c r="G8" s="184" t="n">
        <x:v>0</x:v>
      </x:c>
      <x:c r="H8" s="184" t="n">
        <x:v>40</x:v>
      </x:c>
      <x:c r="I8" s="184" t="n">
        <x:v>0</x:v>
      </x:c>
      <x:c r="J8" s="184" t="n">
        <x:v>0</x:v>
      </x:c>
      <x:c r="K8" s="184" t="n">
        <x:v>0</x:v>
      </x:c>
      <x:c r="L8" s="184" t="n">
        <x:v>0</x:v>
      </x:c>
      <x:c r="M8" s="184" t="n">
        <x:v>0</x:v>
      </x:c>
      <x:c r="N8" s="186" t="n">
        <x:v>40</x:v>
      </x:c>
      <x:c r="O8" s="186" t="n">
        <x:v>40</x:v>
      </x:c>
      <x:c r="P8" s="186" t="n">
        <x:v>40</x:v>
      </x:c>
      <x:c r="Q8" s="186" t="n">
        <x:v>45</x:v>
      </x:c>
      <x:c r="R8" s="186" t="n">
        <x:v>40</x:v>
      </x:c>
      <x:c r="S8" s="186" t="n">
        <x:v>50</x:v>
      </x:c>
      <x:c r="T8" s="186" t="n">
        <x:v>40</x:v>
      </x:c>
      <x:c r="U8" s="186" t="n">
        <x:v>40</x:v>
      </x:c>
      <x:c r="V8" s="186" t="n">
        <x:v>40</x:v>
      </x:c>
      <x:c r="W8" s="186" t="n">
        <x:v>50</x:v>
      </x:c>
      <x:c r="X8" s="186" t="n">
        <x:v>40</x:v>
      </x:c>
      <x:c r="Y8" s="186" t="n">
        <x:v>50</x:v>
      </x:c>
      <x:c r="Z8" s="186" t="n">
        <x:v>45</x:v>
      </x:c>
      <x:c r="AA8" s="186" t="n">
        <x:v>35</x:v>
      </x:c>
      <x:c r="AB8" s="186" t="n">
        <x:v>40</x:v>
      </x:c>
      <x:c r="AC8" s="186" t="n">
        <x:v>35</x:v>
      </x:c>
      <x:c r="AD8" s="186" t="n">
        <x:v>50</x:v>
      </x:c>
      <x:c r="AE8" s="186" t="n">
        <x:v>45</x:v>
      </x:c>
      <x:c r="AF8" s="186" t="n">
        <x:v>50</x:v>
      </x:c>
      <x:c r="AG8" s="186" t="n">
        <x:v>50</x:v>
      </x:c>
      <x:c r="AH8" s="186" t="n">
        <x:v>50</x:v>
      </x:c>
      <x:c r="AI8" s="188" t="n">
        <x:f>SUM(D8:AH8)</x:f>
        <x:v>1085</x:v>
      </x:c>
      <x:c r="AJ8" s="196" t="n">
        <x:f>D8*'Daftar Produk &amp; Harga'!$C$4+E8*'Daftar Produk &amp; Harga'!$C$5+F8*'Daftar Produk &amp; Harga'!$C$6+G8*'Daftar Produk &amp; Harga'!$C$7+H8*'Daftar Produk &amp; Harga'!$C$8+I8*'Daftar Produk &amp; Harga'!$C$9+J8*'Daftar Produk &amp; Harga'!$C$10+K8*'Daftar Produk &amp; Harga'!$C$11+L8*'Daftar Produk &amp; Harga'!$C$12+M8*'Daftar Produk &amp; Harga'!$C$13+N8*'Daftar Produk &amp; Harga'!$C$14+O8*'Daftar Produk &amp; Harga'!$C$15+P8*'Daftar Produk &amp; Harga'!$C$16+Q8*'Daftar Produk &amp; Harga'!$C$17+R8*'Daftar Produk &amp; Harga'!$C$18+S8*'Daftar Produk &amp; Harga'!$C$19+T8*'Daftar Produk &amp; Harga'!$C$20+U8*'Daftar Produk &amp; Harga'!$C$21+V8*'Daftar Produk &amp; Harga'!$C$22+W8*'Daftar Produk &amp; Harga'!$C$23+X8*'Daftar Produk &amp; Harga'!$C$24+Y8*'Daftar Produk &amp; Harga'!$C$25+Z8*'Daftar Produk &amp; Harga'!$C$26+AA8*'Daftar Produk &amp; Harga'!$C$27+AB8*'Daftar Produk &amp; Harga'!$C$28+AC8*'Daftar Produk &amp; Harga'!$C$29+AD8*'Daftar Produk &amp; Harga'!$C$30+AE8*'Daftar Produk &amp; Harga'!$C$31+AF8*'Daftar Produk &amp; Harga'!$C$32+AG8*'Daftar Produk &amp; Harga'!$C$33+AH8*'Daftar Produk &amp; Harga'!$C$34</x:f>
        <x:v>34085000</x:v>
      </x:c>
    </x:row>
    <x:row r="9" ht="18" customHeight="1">
      <x:c r="A9" s="178" t="n">
        <x:v>6</x:v>
      </x:c>
      <x:c r="B9" s="179" t="n">
        <x:v>46118</x:v>
      </x:c>
      <x:c r="C9" s="178" t="str">
        <x:v>Senin</x:v>
      </x:c>
      <x:c r="D9" s="184" t="n">
        <x:v>0</x:v>
      </x:c>
      <x:c r="E9" s="184" t="n">
        <x:v>40</x:v>
      </x:c>
      <x:c r="F9" s="184" t="n">
        <x:v>0</x:v>
      </x:c>
      <x:c r="G9" s="184" t="n">
        <x:v>0</x:v>
      </x:c>
      <x:c r="H9" s="184" t="n">
        <x:v>40</x:v>
      </x:c>
      <x:c r="I9" s="184" t="n">
        <x:v>40</x:v>
      </x:c>
      <x:c r="J9" s="184" t="n">
        <x:v>0</x:v>
      </x:c>
      <x:c r="K9" s="184" t="n">
        <x:v>0</x:v>
      </x:c>
      <x:c r="L9" s="184" t="n">
        <x:v>0</x:v>
      </x:c>
      <x:c r="M9" s="184" t="n">
        <x:v>0</x:v>
      </x:c>
      <x:c r="N9" s="186" t="n">
        <x:v>35</x:v>
      </x:c>
      <x:c r="O9" s="186" t="n">
        <x:v>30</x:v>
      </x:c>
      <x:c r="P9" s="186" t="n">
        <x:v>30</x:v>
      </x:c>
      <x:c r="Q9" s="186" t="n">
        <x:v>35</x:v>
      </x:c>
      <x:c r="R9" s="186" t="n">
        <x:v>30</x:v>
      </x:c>
      <x:c r="S9" s="186" t="n">
        <x:v>30</x:v>
      </x:c>
      <x:c r="T9" s="186" t="n">
        <x:v>30</x:v>
      </x:c>
      <x:c r="U9" s="186" t="n">
        <x:v>40</x:v>
      </x:c>
      <x:c r="V9" s="186" t="n">
        <x:v>40</x:v>
      </x:c>
      <x:c r="W9" s="186" t="n">
        <x:v>35</x:v>
      </x:c>
      <x:c r="X9" s="186" t="n">
        <x:v>30</x:v>
      </x:c>
      <x:c r="Y9" s="186" t="n">
        <x:v>35</x:v>
      </x:c>
      <x:c r="Z9" s="186" t="n">
        <x:v>35</x:v>
      </x:c>
      <x:c r="AA9" s="186" t="n">
        <x:v>35</x:v>
      </x:c>
      <x:c r="AB9" s="186" t="n">
        <x:v>30</x:v>
      </x:c>
      <x:c r="AC9" s="186" t="n">
        <x:v>30</x:v>
      </x:c>
      <x:c r="AD9" s="186" t="n">
        <x:v>40</x:v>
      </x:c>
      <x:c r="AE9" s="186" t="n">
        <x:v>30</x:v>
      </x:c>
      <x:c r="AF9" s="186" t="n">
        <x:v>30</x:v>
      </x:c>
      <x:c r="AG9" s="186" t="n">
        <x:v>40</x:v>
      </x:c>
      <x:c r="AH9" s="186" t="n">
        <x:v>40</x:v>
      </x:c>
      <x:c r="AI9" s="188" t="n">
        <x:f>SUM(D9:AH9)</x:f>
        <x:v>830</x:v>
      </x:c>
      <x:c r="AJ9" s="196" t="n">
        <x:f>D9*'Daftar Produk &amp; Harga'!$C$4+E9*'Daftar Produk &amp; Harga'!$C$5+F9*'Daftar Produk &amp; Harga'!$C$6+G9*'Daftar Produk &amp; Harga'!$C$7+H9*'Daftar Produk &amp; Harga'!$C$8+I9*'Daftar Produk &amp; Harga'!$C$9+J9*'Daftar Produk &amp; Harga'!$C$10+K9*'Daftar Produk &amp; Harga'!$C$11+L9*'Daftar Produk &amp; Harga'!$C$12+M9*'Daftar Produk &amp; Harga'!$C$13+N9*'Daftar Produk &amp; Harga'!$C$14+O9*'Daftar Produk &amp; Harga'!$C$15+P9*'Daftar Produk &amp; Harga'!$C$16+Q9*'Daftar Produk &amp; Harga'!$C$17+R9*'Daftar Produk &amp; Harga'!$C$18+S9*'Daftar Produk &amp; Harga'!$C$19+T9*'Daftar Produk &amp; Harga'!$C$20+U9*'Daftar Produk &amp; Harga'!$C$21+V9*'Daftar Produk &amp; Harga'!$C$22+W9*'Daftar Produk &amp; Harga'!$C$23+X9*'Daftar Produk &amp; Harga'!$C$24+Y9*'Daftar Produk &amp; Harga'!$C$25+Z9*'Daftar Produk &amp; Harga'!$C$26+AA9*'Daftar Produk &amp; Harga'!$C$27+AB9*'Daftar Produk &amp; Harga'!$C$28+AC9*'Daftar Produk &amp; Harga'!$C$29+AD9*'Daftar Produk &amp; Harga'!$C$30+AE9*'Daftar Produk &amp; Harga'!$C$31+AF9*'Daftar Produk &amp; Harga'!$C$32+AG9*'Daftar Produk &amp; Harga'!$C$33+AH9*'Daftar Produk &amp; Harga'!$C$34</x:f>
        <x:v>26830000</x:v>
      </x:c>
    </x:row>
    <x:row r="10" ht="18" customHeight="1">
      <x:c r="A10" s="178" t="n">
        <x:v>7</x:v>
      </x:c>
      <x:c r="B10" s="179" t="n">
        <x:v>46119</x:v>
      </x:c>
      <x:c r="C10" s="178" t="str">
        <x:v>Selasa</x:v>
      </x:c>
      <x:c r="D10" s="184" t="n">
        <x:v>0</x:v>
      </x:c>
      <x:c r="E10" s="184" t="n">
        <x:v>50</x:v>
      </x:c>
      <x:c r="F10" s="184" t="n">
        <x:v>0</x:v>
      </x:c>
      <x:c r="G10" s="184" t="n">
        <x:v>50</x:v>
      </x:c>
      <x:c r="H10" s="184" t="n">
        <x:v>50</x:v>
      </x:c>
      <x:c r="I10" s="184" t="n">
        <x:v>40</x:v>
      </x:c>
      <x:c r="J10" s="184" t="n">
        <x:v>0</x:v>
      </x:c>
      <x:c r="K10" s="184" t="n">
        <x:v>0</x:v>
      </x:c>
      <x:c r="L10" s="184" t="n">
        <x:v>0</x:v>
      </x:c>
      <x:c r="M10" s="184" t="n">
        <x:v>0</x:v>
      </x:c>
      <x:c r="N10" s="186" t="n">
        <x:v>35</x:v>
      </x:c>
      <x:c r="O10" s="186" t="n">
        <x:v>35</x:v>
      </x:c>
      <x:c r="P10" s="186" t="n">
        <x:v>30</x:v>
      </x:c>
      <x:c r="Q10" s="186" t="n">
        <x:v>40</x:v>
      </x:c>
      <x:c r="R10" s="186" t="n">
        <x:v>35</x:v>
      </x:c>
      <x:c r="S10" s="186" t="n">
        <x:v>35</x:v>
      </x:c>
      <x:c r="T10" s="186" t="n">
        <x:v>40</x:v>
      </x:c>
      <x:c r="U10" s="186" t="n">
        <x:v>40</x:v>
      </x:c>
      <x:c r="V10" s="186" t="n">
        <x:v>40</x:v>
      </x:c>
      <x:c r="W10" s="186" t="n">
        <x:v>40</x:v>
      </x:c>
      <x:c r="X10" s="186" t="n">
        <x:v>40</x:v>
      </x:c>
      <x:c r="Y10" s="186" t="n">
        <x:v>40</x:v>
      </x:c>
      <x:c r="Z10" s="186" t="n">
        <x:v>30</x:v>
      </x:c>
      <x:c r="AA10" s="186" t="n">
        <x:v>35</x:v>
      </x:c>
      <x:c r="AB10" s="186" t="n">
        <x:v>35</x:v>
      </x:c>
      <x:c r="AC10" s="186" t="n">
        <x:v>40</x:v>
      </x:c>
      <x:c r="AD10" s="186" t="n">
        <x:v>40</x:v>
      </x:c>
      <x:c r="AE10" s="186" t="n">
        <x:v>35</x:v>
      </x:c>
      <x:c r="AF10" s="186" t="n">
        <x:v>35</x:v>
      </x:c>
      <x:c r="AG10" s="186" t="n">
        <x:v>40</x:v>
      </x:c>
      <x:c r="AH10" s="186" t="n">
        <x:v>40</x:v>
      </x:c>
      <x:c r="AI10" s="188" t="n">
        <x:f>SUM(D10:AH10)</x:f>
        <x:v>970</x:v>
      </x:c>
      <x:c r="AJ10" s="196" t="n">
        <x:f>D10*'Daftar Produk &amp; Harga'!$C$4+E10*'Daftar Produk &amp; Harga'!$C$5+F10*'Daftar Produk &amp; Harga'!$C$6+G10*'Daftar Produk &amp; Harga'!$C$7+H10*'Daftar Produk &amp; Harga'!$C$8+I10*'Daftar Produk &amp; Harga'!$C$9+J10*'Daftar Produk &amp; Harga'!$C$10+K10*'Daftar Produk &amp; Harga'!$C$11+L10*'Daftar Produk &amp; Harga'!$C$12+M10*'Daftar Produk &amp; Harga'!$C$13+N10*'Daftar Produk &amp; Harga'!$C$14+O10*'Daftar Produk &amp; Harga'!$C$15+P10*'Daftar Produk &amp; Harga'!$C$16+Q10*'Daftar Produk &amp; Harga'!$C$17+R10*'Daftar Produk &amp; Harga'!$C$18+S10*'Daftar Produk &amp; Harga'!$C$19+T10*'Daftar Produk &amp; Harga'!$C$20+U10*'Daftar Produk &amp; Harga'!$C$21+V10*'Daftar Produk &amp; Harga'!$C$22+W10*'Daftar Produk &amp; Harga'!$C$23+X10*'Daftar Produk &amp; Harga'!$C$24+Y10*'Daftar Produk &amp; Harga'!$C$25+Z10*'Daftar Produk &amp; Harga'!$C$26+AA10*'Daftar Produk &amp; Harga'!$C$27+AB10*'Daftar Produk &amp; Harga'!$C$28+AC10*'Daftar Produk &amp; Harga'!$C$29+AD10*'Daftar Produk &amp; Harga'!$C$30+AE10*'Daftar Produk &amp; Harga'!$C$31+AF10*'Daftar Produk &amp; Harga'!$C$32+AG10*'Daftar Produk &amp; Harga'!$C$33+AH10*'Daftar Produk &amp; Harga'!$C$34</x:f>
        <x:v>32060000</x:v>
      </x:c>
    </x:row>
    <x:row r="11" ht="18" customHeight="1">
      <x:c r="A11" s="178" t="n">
        <x:v>8</x:v>
      </x:c>
      <x:c r="B11" s="179" t="n">
        <x:v>46120</x:v>
      </x:c>
      <x:c r="C11" s="178" t="str">
        <x:v>Rabu</x:v>
      </x:c>
      <x:c r="D11" s="184" t="n">
        <x:v>0</x:v>
      </x:c>
      <x:c r="E11" s="184" t="n">
        <x:v>0</x:v>
      </x:c>
      <x:c r="F11" s="184" t="n">
        <x:v>0</x:v>
      </x:c>
      <x:c r="G11" s="184" t="n">
        <x:v>60</x:v>
      </x:c>
      <x:c r="H11" s="184" t="n">
        <x:v>50</x:v>
      </x:c>
      <x:c r="I11" s="184" t="n">
        <x:v>40</x:v>
      </x:c>
      <x:c r="J11" s="184" t="n">
        <x:v>0</x:v>
      </x:c>
      <x:c r="K11" s="184" t="n">
        <x:v>0</x:v>
      </x:c>
      <x:c r="L11" s="184" t="n">
        <x:v>0</x:v>
      </x:c>
      <x:c r="M11" s="184" t="n">
        <x:v>40</x:v>
      </x:c>
      <x:c r="N11" s="186" t="n">
        <x:v>35</x:v>
      </x:c>
      <x:c r="O11" s="186" t="n">
        <x:v>40</x:v>
      </x:c>
      <x:c r="P11" s="186" t="n">
        <x:v>40</x:v>
      </x:c>
      <x:c r="Q11" s="186" t="n">
        <x:v>30</x:v>
      </x:c>
      <x:c r="R11" s="186" t="n">
        <x:v>35</x:v>
      </x:c>
      <x:c r="S11" s="186" t="n">
        <x:v>30</x:v>
      </x:c>
      <x:c r="T11" s="186" t="n">
        <x:v>30</x:v>
      </x:c>
      <x:c r="U11" s="186" t="n">
        <x:v>40</x:v>
      </x:c>
      <x:c r="V11" s="186" t="n">
        <x:v>35</x:v>
      </x:c>
      <x:c r="W11" s="186" t="n">
        <x:v>30</x:v>
      </x:c>
      <x:c r="X11" s="186" t="n">
        <x:v>35</x:v>
      </x:c>
      <x:c r="Y11" s="186" t="n">
        <x:v>35</x:v>
      </x:c>
      <x:c r="Z11" s="186" t="n">
        <x:v>35</x:v>
      </x:c>
      <x:c r="AA11" s="186" t="n">
        <x:v>35</x:v>
      </x:c>
      <x:c r="AB11" s="186" t="n">
        <x:v>35</x:v>
      </x:c>
      <x:c r="AC11" s="186" t="n">
        <x:v>40</x:v>
      </x:c>
      <x:c r="AD11" s="186" t="n">
        <x:v>30</x:v>
      </x:c>
      <x:c r="AE11" s="186" t="n">
        <x:v>35</x:v>
      </x:c>
      <x:c r="AF11" s="186" t="n">
        <x:v>30</x:v>
      </x:c>
      <x:c r="AG11" s="186" t="n">
        <x:v>40</x:v>
      </x:c>
      <x:c r="AH11" s="186" t="n">
        <x:v>35</x:v>
      </x:c>
      <x:c r="AI11" s="188" t="n">
        <x:f>SUM(D11:AH11)</x:f>
        <x:v>920</x:v>
      </x:c>
      <x:c r="AJ11" s="196" t="n">
        <x:f>D11*'Daftar Produk &amp; Harga'!$C$4+E11*'Daftar Produk &amp; Harga'!$C$5+F11*'Daftar Produk &amp; Harga'!$C$6+G11*'Daftar Produk &amp; Harga'!$C$7+H11*'Daftar Produk &amp; Harga'!$C$8+I11*'Daftar Produk &amp; Harga'!$C$9+J11*'Daftar Produk &amp; Harga'!$C$10+K11*'Daftar Produk &amp; Harga'!$C$11+L11*'Daftar Produk &amp; Harga'!$C$12+M11*'Daftar Produk &amp; Harga'!$C$13+N11*'Daftar Produk &amp; Harga'!$C$14+O11*'Daftar Produk &amp; Harga'!$C$15+P11*'Daftar Produk &amp; Harga'!$C$16+Q11*'Daftar Produk &amp; Harga'!$C$17+R11*'Daftar Produk &amp; Harga'!$C$18+S11*'Daftar Produk &amp; Harga'!$C$19+T11*'Daftar Produk &amp; Harga'!$C$20+U11*'Daftar Produk &amp; Harga'!$C$21+V11*'Daftar Produk &amp; Harga'!$C$22+W11*'Daftar Produk &amp; Harga'!$C$23+X11*'Daftar Produk &amp; Harga'!$C$24+Y11*'Daftar Produk &amp; Harga'!$C$25+Z11*'Daftar Produk &amp; Harga'!$C$26+AA11*'Daftar Produk &amp; Harga'!$C$27+AB11*'Daftar Produk &amp; Harga'!$C$28+AC11*'Daftar Produk &amp; Harga'!$C$29+AD11*'Daftar Produk &amp; Harga'!$C$30+AE11*'Daftar Produk &amp; Harga'!$C$31+AF11*'Daftar Produk &amp; Harga'!$C$32+AG11*'Daftar Produk &amp; Harga'!$C$33+AH11*'Daftar Produk &amp; Harga'!$C$34</x:f>
        <x:v>30335000</x:v>
      </x:c>
    </x:row>
    <x:row r="12" ht="18" customHeight="1">
      <x:c r="A12" s="178" t="n">
        <x:v>9</x:v>
      </x:c>
      <x:c r="B12" s="179" t="n">
        <x:v>46121</x:v>
      </x:c>
      <x:c r="C12" s="178" t="str">
        <x:v>Kamis</x:v>
      </x:c>
      <x:c r="D12" s="184" t="n">
        <x:v>0</x:v>
      </x:c>
      <x:c r="E12" s="184" t="n">
        <x:v>0</x:v>
      </x:c>
      <x:c r="F12" s="184" t="n">
        <x:v>0</x:v>
      </x:c>
      <x:c r="G12" s="184" t="n">
        <x:v>0</x:v>
      </x:c>
      <x:c r="H12" s="184" t="n">
        <x:v>0</x:v>
      </x:c>
      <x:c r="I12" s="184" t="n">
        <x:v>40</x:v>
      </x:c>
      <x:c r="J12" s="184" t="n">
        <x:v>0</x:v>
      </x:c>
      <x:c r="K12" s="184" t="n">
        <x:v>40</x:v>
      </x:c>
      <x:c r="L12" s="184" t="n">
        <x:v>0</x:v>
      </x:c>
      <x:c r="M12" s="184" t="n">
        <x:v>40</x:v>
      </x:c>
      <x:c r="N12" s="186" t="n">
        <x:v>40</x:v>
      </x:c>
      <x:c r="O12" s="186" t="n">
        <x:v>30</x:v>
      </x:c>
      <x:c r="P12" s="186" t="n">
        <x:v>30</x:v>
      </x:c>
      <x:c r="Q12" s="186" t="n">
        <x:v>35</x:v>
      </x:c>
      <x:c r="R12" s="186" t="n">
        <x:v>35</x:v>
      </x:c>
      <x:c r="S12" s="186" t="n">
        <x:v>30</x:v>
      </x:c>
      <x:c r="T12" s="186" t="n">
        <x:v>30</x:v>
      </x:c>
      <x:c r="U12" s="186" t="n">
        <x:v>30</x:v>
      </x:c>
      <x:c r="V12" s="186" t="n">
        <x:v>30</x:v>
      </x:c>
      <x:c r="W12" s="186" t="n">
        <x:v>30</x:v>
      </x:c>
      <x:c r="X12" s="186" t="n">
        <x:v>35</x:v>
      </x:c>
      <x:c r="Y12" s="186" t="n">
        <x:v>40</x:v>
      </x:c>
      <x:c r="Z12" s="186" t="n">
        <x:v>35</x:v>
      </x:c>
      <x:c r="AA12" s="186" t="n">
        <x:v>40</x:v>
      </x:c>
      <x:c r="AB12" s="186" t="n">
        <x:v>30</x:v>
      </x:c>
      <x:c r="AC12" s="186" t="n">
        <x:v>40</x:v>
      </x:c>
      <x:c r="AD12" s="186" t="n">
        <x:v>35</x:v>
      </x:c>
      <x:c r="AE12" s="186" t="n">
        <x:v>40</x:v>
      </x:c>
      <x:c r="AF12" s="186" t="n">
        <x:v>40</x:v>
      </x:c>
      <x:c r="AG12" s="186" t="n">
        <x:v>30</x:v>
      </x:c>
      <x:c r="AH12" s="186" t="n">
        <x:v>40</x:v>
      </x:c>
      <x:c r="AI12" s="188" t="n">
        <x:f>SUM(D12:AH12)</x:f>
        <x:v>845</x:v>
      </x:c>
      <x:c r="AJ12" s="196" t="n">
        <x:f>D12*'Daftar Produk &amp; Harga'!$C$4+E12*'Daftar Produk &amp; Harga'!$C$5+F12*'Daftar Produk &amp; Harga'!$C$6+G12*'Daftar Produk &amp; Harga'!$C$7+H12*'Daftar Produk &amp; Harga'!$C$8+I12*'Daftar Produk &amp; Harga'!$C$9+J12*'Daftar Produk &amp; Harga'!$C$10+K12*'Daftar Produk &amp; Harga'!$C$11+L12*'Daftar Produk &amp; Harga'!$C$12+M12*'Daftar Produk &amp; Harga'!$C$13+N12*'Daftar Produk &amp; Harga'!$C$14+O12*'Daftar Produk &amp; Harga'!$C$15+P12*'Daftar Produk &amp; Harga'!$C$16+Q12*'Daftar Produk &amp; Harga'!$C$17+R12*'Daftar Produk &amp; Harga'!$C$18+S12*'Daftar Produk &amp; Harga'!$C$19+T12*'Daftar Produk &amp; Harga'!$C$20+U12*'Daftar Produk &amp; Harga'!$C$21+V12*'Daftar Produk &amp; Harga'!$C$22+W12*'Daftar Produk &amp; Harga'!$C$23+X12*'Daftar Produk &amp; Harga'!$C$24+Y12*'Daftar Produk &amp; Harga'!$C$25+Z12*'Daftar Produk &amp; Harga'!$C$26+AA12*'Daftar Produk &amp; Harga'!$C$27+AB12*'Daftar Produk &amp; Harga'!$C$28+AC12*'Daftar Produk &amp; Harga'!$C$29+AD12*'Daftar Produk &amp; Harga'!$C$30+AE12*'Daftar Produk &amp; Harga'!$C$31+AF12*'Daftar Produk &amp; Harga'!$C$32+AG12*'Daftar Produk &amp; Harga'!$C$33+AH12*'Daftar Produk &amp; Harga'!$C$34</x:f>
        <x:v>28340000</x:v>
      </x:c>
    </x:row>
    <x:row r="13" ht="18" customHeight="1">
      <x:c r="A13" s="178" t="n">
        <x:v>10</x:v>
      </x:c>
      <x:c r="B13" s="179" t="n">
        <x:v>46122</x:v>
      </x:c>
      <x:c r="C13" s="178" t="str">
        <x:v>Jumat</x:v>
      </x:c>
      <x:c r="D13" s="184" t="n">
        <x:v>0</x:v>
      </x:c>
      <x:c r="E13" s="184" t="n">
        <x:v>0</x:v>
      </x:c>
      <x:c r="F13" s="184" t="n">
        <x:v>0</x:v>
      </x:c>
      <x:c r="G13" s="184" t="n">
        <x:v>0</x:v>
      </x:c>
      <x:c r="H13" s="184" t="n">
        <x:v>0</x:v>
      </x:c>
      <x:c r="I13" s="184" t="n">
        <x:v>0</x:v>
      </x:c>
      <x:c r="J13" s="184" t="n">
        <x:v>0</x:v>
      </x:c>
      <x:c r="K13" s="184" t="n">
        <x:v>40</x:v>
      </x:c>
      <x:c r="L13" s="184" t="n">
        <x:v>40</x:v>
      </x:c>
      <x:c r="M13" s="184" t="n">
        <x:v>40</x:v>
      </x:c>
      <x:c r="N13" s="186" t="n">
        <x:v>30</x:v>
      </x:c>
      <x:c r="O13" s="186" t="n">
        <x:v>30</x:v>
      </x:c>
      <x:c r="P13" s="186" t="n">
        <x:v>40</x:v>
      </x:c>
      <x:c r="Q13" s="186" t="n">
        <x:v>40</x:v>
      </x:c>
      <x:c r="R13" s="186" t="n">
        <x:v>30</x:v>
      </x:c>
      <x:c r="S13" s="186" t="n">
        <x:v>35</x:v>
      </x:c>
      <x:c r="T13" s="186" t="n">
        <x:v>35</x:v>
      </x:c>
      <x:c r="U13" s="186" t="n">
        <x:v>40</x:v>
      </x:c>
      <x:c r="V13" s="186" t="n">
        <x:v>30</x:v>
      </x:c>
      <x:c r="W13" s="186" t="n">
        <x:v>30</x:v>
      </x:c>
      <x:c r="X13" s="186" t="n">
        <x:v>40</x:v>
      </x:c>
      <x:c r="Y13" s="186" t="n">
        <x:v>30</x:v>
      </x:c>
      <x:c r="Z13" s="186" t="n">
        <x:v>30</x:v>
      </x:c>
      <x:c r="AA13" s="186" t="n">
        <x:v>40</x:v>
      </x:c>
      <x:c r="AB13" s="186" t="n">
        <x:v>40</x:v>
      </x:c>
      <x:c r="AC13" s="186" t="n">
        <x:v>30</x:v>
      </x:c>
      <x:c r="AD13" s="186" t="n">
        <x:v>35</x:v>
      </x:c>
      <x:c r="AE13" s="186" t="n">
        <x:v>40</x:v>
      </x:c>
      <x:c r="AF13" s="186" t="n">
        <x:v>40</x:v>
      </x:c>
      <x:c r="AG13" s="186" t="n">
        <x:v>30</x:v>
      </x:c>
      <x:c r="AH13" s="186" t="n">
        <x:v>35</x:v>
      </x:c>
      <x:c r="AI13" s="188" t="n">
        <x:f>SUM(D13:AH13)</x:f>
        <x:v>850</x:v>
      </x:c>
      <x:c r="AJ13" s="196" t="n">
        <x:f>D13*'Daftar Produk &amp; Harga'!$C$4+E13*'Daftar Produk &amp; Harga'!$C$5+F13*'Daftar Produk &amp; Harga'!$C$6+G13*'Daftar Produk &amp; Harga'!$C$7+H13*'Daftar Produk &amp; Harga'!$C$8+I13*'Daftar Produk &amp; Harga'!$C$9+J13*'Daftar Produk &amp; Harga'!$C$10+K13*'Daftar Produk &amp; Harga'!$C$11+L13*'Daftar Produk &amp; Harga'!$C$12+M13*'Daftar Produk &amp; Harga'!$C$13+N13*'Daftar Produk &amp; Harga'!$C$14+O13*'Daftar Produk &amp; Harga'!$C$15+P13*'Daftar Produk &amp; Harga'!$C$16+Q13*'Daftar Produk &amp; Harga'!$C$17+R13*'Daftar Produk &amp; Harga'!$C$18+S13*'Daftar Produk &amp; Harga'!$C$19+T13*'Daftar Produk &amp; Harga'!$C$20+U13*'Daftar Produk &amp; Harga'!$C$21+V13*'Daftar Produk &amp; Harga'!$C$22+W13*'Daftar Produk &amp; Harga'!$C$23+X13*'Daftar Produk &amp; Harga'!$C$24+Y13*'Daftar Produk &amp; Harga'!$C$25+Z13*'Daftar Produk &amp; Harga'!$C$26+AA13*'Daftar Produk &amp; Harga'!$C$27+AB13*'Daftar Produk &amp; Harga'!$C$28+AC13*'Daftar Produk &amp; Harga'!$C$29+AD13*'Daftar Produk &amp; Harga'!$C$30+AE13*'Daftar Produk &amp; Harga'!$C$31+AF13*'Daftar Produk &amp; Harga'!$C$32+AG13*'Daftar Produk &amp; Harga'!$C$33+AH13*'Daftar Produk &amp; Harga'!$C$34</x:f>
        <x:v>28960000</x:v>
      </x:c>
    </x:row>
    <x:row r="14" ht="18" customHeight="1">
      <x:c r="A14" s="178" t="n">
        <x:v>11</x:v>
      </x:c>
      <x:c r="B14" s="179" t="n">
        <x:v>46123</x:v>
      </x:c>
      <x:c r="C14" s="178" t="str">
        <x:v>Sabtu</x:v>
      </x:c>
      <x:c r="D14" s="184" t="n">
        <x:v>0</x:v>
      </x:c>
      <x:c r="E14" s="184" t="n">
        <x:v>0</x:v>
      </x:c>
      <x:c r="F14" s="184" t="n">
        <x:v>0</x:v>
      </x:c>
      <x:c r="G14" s="184" t="n">
        <x:v>0</x:v>
      </x:c>
      <x:c r="H14" s="184" t="n">
        <x:v>0</x:v>
      </x:c>
      <x:c r="I14" s="184" t="n">
        <x:v>0</x:v>
      </x:c>
      <x:c r="J14" s="184" t="n">
        <x:v>0</x:v>
      </x:c>
      <x:c r="K14" s="184" t="n">
        <x:v>40</x:v>
      </x:c>
      <x:c r="L14" s="184" t="n">
        <x:v>40</x:v>
      </x:c>
      <x:c r="M14" s="184" t="n">
        <x:v>50</x:v>
      </x:c>
      <x:c r="N14" s="186" t="n">
        <x:v>50</x:v>
      </x:c>
      <x:c r="O14" s="186" t="n">
        <x:v>45</x:v>
      </x:c>
      <x:c r="P14" s="186" t="n">
        <x:v>40</x:v>
      </x:c>
      <x:c r="Q14" s="186" t="n">
        <x:v>40</x:v>
      </x:c>
      <x:c r="R14" s="186" t="n">
        <x:v>45</x:v>
      </x:c>
      <x:c r="S14" s="186" t="n">
        <x:v>45</x:v>
      </x:c>
      <x:c r="T14" s="186" t="n">
        <x:v>50</x:v>
      </x:c>
      <x:c r="U14" s="186" t="n">
        <x:v>40</x:v>
      </x:c>
      <x:c r="V14" s="186" t="n">
        <x:v>40</x:v>
      </x:c>
      <x:c r="W14" s="186" t="n">
        <x:v>45</x:v>
      </x:c>
      <x:c r="X14" s="186" t="n">
        <x:v>35</x:v>
      </x:c>
      <x:c r="Y14" s="186" t="n">
        <x:v>40</x:v>
      </x:c>
      <x:c r="Z14" s="186" t="n">
        <x:v>40</x:v>
      </x:c>
      <x:c r="AA14" s="186" t="n">
        <x:v>50</x:v>
      </x:c>
      <x:c r="AB14" s="186" t="n">
        <x:v>45</x:v>
      </x:c>
      <x:c r="AC14" s="186" t="n">
        <x:v>50</x:v>
      </x:c>
      <x:c r="AD14" s="186" t="n">
        <x:v>40</x:v>
      </x:c>
      <x:c r="AE14" s="186" t="n">
        <x:v>35</x:v>
      </x:c>
      <x:c r="AF14" s="186" t="n">
        <x:v>45</x:v>
      </x:c>
      <x:c r="AG14" s="186" t="n">
        <x:v>35</x:v>
      </x:c>
      <x:c r="AH14" s="186" t="n">
        <x:v>40</x:v>
      </x:c>
      <x:c r="AI14" s="188" t="n">
        <x:f>SUM(D14:AH14)</x:f>
        <x:v>1025</x:v>
      </x:c>
      <x:c r="AJ14" s="196" t="n">
        <x:f>D14*'Daftar Produk &amp; Harga'!$C$4+E14*'Daftar Produk &amp; Harga'!$C$5+F14*'Daftar Produk &amp; Harga'!$C$6+G14*'Daftar Produk &amp; Harga'!$C$7+H14*'Daftar Produk &amp; Harga'!$C$8+I14*'Daftar Produk &amp; Harga'!$C$9+J14*'Daftar Produk &amp; Harga'!$C$10+K14*'Daftar Produk &amp; Harga'!$C$11+L14*'Daftar Produk &amp; Harga'!$C$12+M14*'Daftar Produk &amp; Harga'!$C$13+N14*'Daftar Produk &amp; Harga'!$C$14+O14*'Daftar Produk &amp; Harga'!$C$15+P14*'Daftar Produk &amp; Harga'!$C$16+Q14*'Daftar Produk &amp; Harga'!$C$17+R14*'Daftar Produk &amp; Harga'!$C$18+S14*'Daftar Produk &amp; Harga'!$C$19+T14*'Daftar Produk &amp; Harga'!$C$20+U14*'Daftar Produk &amp; Harga'!$C$21+V14*'Daftar Produk &amp; Harga'!$C$22+W14*'Daftar Produk &amp; Harga'!$C$23+X14*'Daftar Produk &amp; Harga'!$C$24+Y14*'Daftar Produk &amp; Harga'!$C$25+Z14*'Daftar Produk &amp; Harga'!$C$26+AA14*'Daftar Produk &amp; Harga'!$C$27+AB14*'Daftar Produk &amp; Harga'!$C$28+AC14*'Daftar Produk &amp; Harga'!$C$29+AD14*'Daftar Produk &amp; Harga'!$C$30+AE14*'Daftar Produk &amp; Harga'!$C$31+AF14*'Daftar Produk &amp; Harga'!$C$32+AG14*'Daftar Produk &amp; Harga'!$C$33+AH14*'Daftar Produk &amp; Harga'!$C$34</x:f>
        <x:v>35310000</x:v>
      </x:c>
    </x:row>
    <x:row r="15" ht="18" customHeight="1">
      <x:c r="A15" s="178" t="n">
        <x:v>12</x:v>
      </x:c>
      <x:c r="B15" s="179" t="n">
        <x:v>46124</x:v>
      </x:c>
      <x:c r="C15" s="178" t="str">
        <x:v>Minggu</x:v>
      </x:c>
      <x:c r="D15" s="184" t="n">
        <x:v>0</x:v>
      </x:c>
      <x:c r="E15" s="184" t="n">
        <x:v>0</x:v>
      </x:c>
      <x:c r="F15" s="184" t="n">
        <x:v>0</x:v>
      </x:c>
      <x:c r="G15" s="184" t="n">
        <x:v>0</x:v>
      </x:c>
      <x:c r="H15" s="184" t="n">
        <x:v>0</x:v>
      </x:c>
      <x:c r="I15" s="184" t="n">
        <x:v>0</x:v>
      </x:c>
      <x:c r="J15" s="184" t="n">
        <x:v>0</x:v>
      </x:c>
      <x:c r="K15" s="184" t="n">
        <x:v>40</x:v>
      </x:c>
      <x:c r="L15" s="184" t="n">
        <x:v>40</x:v>
      </x:c>
      <x:c r="M15" s="184" t="n">
        <x:v>50</x:v>
      </x:c>
      <x:c r="N15" s="186" t="n">
        <x:v>40</x:v>
      </x:c>
      <x:c r="O15" s="186" t="n">
        <x:v>45</x:v>
      </x:c>
      <x:c r="P15" s="186" t="n">
        <x:v>45</x:v>
      </x:c>
      <x:c r="Q15" s="186" t="n">
        <x:v>45</x:v>
      </x:c>
      <x:c r="R15" s="186" t="n">
        <x:v>45</x:v>
      </x:c>
      <x:c r="S15" s="186" t="n">
        <x:v>40</x:v>
      </x:c>
      <x:c r="T15" s="186" t="n">
        <x:v>45</x:v>
      </x:c>
      <x:c r="U15" s="186" t="n">
        <x:v>35</x:v>
      </x:c>
      <x:c r="V15" s="186" t="n">
        <x:v>50</x:v>
      </x:c>
      <x:c r="W15" s="186" t="n">
        <x:v>40</x:v>
      </x:c>
      <x:c r="X15" s="186" t="n">
        <x:v>40</x:v>
      </x:c>
      <x:c r="Y15" s="186" t="n">
        <x:v>40</x:v>
      </x:c>
      <x:c r="Z15" s="186" t="n">
        <x:v>50</x:v>
      </x:c>
      <x:c r="AA15" s="186" t="n">
        <x:v>50</x:v>
      </x:c>
      <x:c r="AB15" s="186" t="n">
        <x:v>45</x:v>
      </x:c>
      <x:c r="AC15" s="186" t="n">
        <x:v>45</x:v>
      </x:c>
      <x:c r="AD15" s="186" t="n">
        <x:v>40</x:v>
      </x:c>
      <x:c r="AE15" s="186" t="n">
        <x:v>45</x:v>
      </x:c>
      <x:c r="AF15" s="186" t="n">
        <x:v>35</x:v>
      </x:c>
      <x:c r="AG15" s="186" t="n">
        <x:v>40</x:v>
      </x:c>
      <x:c r="AH15" s="186" t="n">
        <x:v>40</x:v>
      </x:c>
      <x:c r="AI15" s="188" t="n">
        <x:f>SUM(D15:AH15)</x:f>
        <x:v>1030</x:v>
      </x:c>
      <x:c r="AJ15" s="196" t="n">
        <x:f>D15*'Daftar Produk &amp; Harga'!$C$4+E15*'Daftar Produk &amp; Harga'!$C$5+F15*'Daftar Produk &amp; Harga'!$C$6+G15*'Daftar Produk &amp; Harga'!$C$7+H15*'Daftar Produk &amp; Harga'!$C$8+I15*'Daftar Produk &amp; Harga'!$C$9+J15*'Daftar Produk &amp; Harga'!$C$10+K15*'Daftar Produk &amp; Harga'!$C$11+L15*'Daftar Produk &amp; Harga'!$C$12+M15*'Daftar Produk &amp; Harga'!$C$13+N15*'Daftar Produk &amp; Harga'!$C$14+O15*'Daftar Produk &amp; Harga'!$C$15+P15*'Daftar Produk &amp; Harga'!$C$16+Q15*'Daftar Produk &amp; Harga'!$C$17+R15*'Daftar Produk &amp; Harga'!$C$18+S15*'Daftar Produk &amp; Harga'!$C$19+T15*'Daftar Produk &amp; Harga'!$C$20+U15*'Daftar Produk &amp; Harga'!$C$21+V15*'Daftar Produk &amp; Harga'!$C$22+W15*'Daftar Produk &amp; Harga'!$C$23+X15*'Daftar Produk &amp; Harga'!$C$24+Y15*'Daftar Produk &amp; Harga'!$C$25+Z15*'Daftar Produk &amp; Harga'!$C$26+AA15*'Daftar Produk &amp; Harga'!$C$27+AB15*'Daftar Produk &amp; Harga'!$C$28+AC15*'Daftar Produk &amp; Harga'!$C$29+AD15*'Daftar Produk &amp; Harga'!$C$30+AE15*'Daftar Produk &amp; Harga'!$C$31+AF15*'Daftar Produk &amp; Harga'!$C$32+AG15*'Daftar Produk &amp; Harga'!$C$33+AH15*'Daftar Produk &amp; Harga'!$C$34</x:f>
        <x:v>35155000</x:v>
      </x:c>
    </x:row>
    <x:row r="16" ht="18" customHeight="1">
      <x:c r="A16" s="178" t="n">
        <x:v>13</x:v>
      </x:c>
      <x:c r="B16" s="179" t="n">
        <x:v>46125</x:v>
      </x:c>
      <x:c r="C16" s="178" t="str">
        <x:v>Senin</x:v>
      </x:c>
      <x:c r="D16" s="184" t="n">
        <x:v>0</x:v>
      </x:c>
      <x:c r="E16" s="184" t="n">
        <x:v>0</x:v>
      </x:c>
      <x:c r="F16" s="184" t="n">
        <x:v>0</x:v>
      </x:c>
      <x:c r="G16" s="184" t="n">
        <x:v>0</x:v>
      </x:c>
      <x:c r="H16" s="184" t="n">
        <x:v>0</x:v>
      </x:c>
      <x:c r="I16" s="184" t="n">
        <x:v>0</x:v>
      </x:c>
      <x:c r="J16" s="184" t="n">
        <x:v>0</x:v>
      </x:c>
      <x:c r="K16" s="184" t="n">
        <x:v>50</x:v>
      </x:c>
      <x:c r="L16" s="184" t="n">
        <x:v>0</x:v>
      </x:c>
      <x:c r="M16" s="184" t="n">
        <x:v>0</x:v>
      </x:c>
      <x:c r="N16" s="186" t="n">
        <x:v>30</x:v>
      </x:c>
      <x:c r="O16" s="186" t="n">
        <x:v>40</x:v>
      </x:c>
      <x:c r="P16" s="186" t="n">
        <x:v>35</x:v>
      </x:c>
      <x:c r="Q16" s="186" t="n">
        <x:v>40</x:v>
      </x:c>
      <x:c r="R16" s="186" t="n">
        <x:v>30</x:v>
      </x:c>
      <x:c r="S16" s="186" t="n">
        <x:v>35</x:v>
      </x:c>
      <x:c r="T16" s="186" t="n">
        <x:v>40</x:v>
      </x:c>
      <x:c r="U16" s="186" t="n">
        <x:v>40</x:v>
      </x:c>
      <x:c r="V16" s="186" t="n">
        <x:v>35</x:v>
      </x:c>
      <x:c r="W16" s="186" t="n">
        <x:v>35</x:v>
      </x:c>
      <x:c r="X16" s="186" t="n">
        <x:v>35</x:v>
      </x:c>
      <x:c r="Y16" s="186" t="n">
        <x:v>30</x:v>
      </x:c>
      <x:c r="Z16" s="186" t="n">
        <x:v>35</x:v>
      </x:c>
      <x:c r="AA16" s="186" t="n">
        <x:v>40</x:v>
      </x:c>
      <x:c r="AB16" s="186" t="n">
        <x:v>40</x:v>
      </x:c>
      <x:c r="AC16" s="186" t="n">
        <x:v>40</x:v>
      </x:c>
      <x:c r="AD16" s="186" t="n">
        <x:v>40</x:v>
      </x:c>
      <x:c r="AE16" s="186" t="n">
        <x:v>30</x:v>
      </x:c>
      <x:c r="AF16" s="186" t="n">
        <x:v>30</x:v>
      </x:c>
      <x:c r="AG16" s="186" t="n">
        <x:v>40</x:v>
      </x:c>
      <x:c r="AH16" s="186" t="n">
        <x:v>40</x:v>
      </x:c>
      <x:c r="AI16" s="188" t="n">
        <x:f>SUM(D16:AH16)</x:f>
        <x:v>810</x:v>
      </x:c>
      <x:c r="AJ16" s="196" t="n">
        <x:f>D16*'Daftar Produk &amp; Harga'!$C$4+E16*'Daftar Produk &amp; Harga'!$C$5+F16*'Daftar Produk &amp; Harga'!$C$6+G16*'Daftar Produk &amp; Harga'!$C$7+H16*'Daftar Produk &amp; Harga'!$C$8+I16*'Daftar Produk &amp; Harga'!$C$9+J16*'Daftar Produk &amp; Harga'!$C$10+K16*'Daftar Produk &amp; Harga'!$C$11+L16*'Daftar Produk &amp; Harga'!$C$12+M16*'Daftar Produk &amp; Harga'!$C$13+N16*'Daftar Produk &amp; Harga'!$C$14+O16*'Daftar Produk &amp; Harga'!$C$15+P16*'Daftar Produk &amp; Harga'!$C$16+Q16*'Daftar Produk &amp; Harga'!$C$17+R16*'Daftar Produk &amp; Harga'!$C$18+S16*'Daftar Produk &amp; Harga'!$C$19+T16*'Daftar Produk &amp; Harga'!$C$20+U16*'Daftar Produk &amp; Harga'!$C$21+V16*'Daftar Produk &amp; Harga'!$C$22+W16*'Daftar Produk &amp; Harga'!$C$23+X16*'Daftar Produk &amp; Harga'!$C$24+Y16*'Daftar Produk &amp; Harga'!$C$25+Z16*'Daftar Produk &amp; Harga'!$C$26+AA16*'Daftar Produk &amp; Harga'!$C$27+AB16*'Daftar Produk &amp; Harga'!$C$28+AC16*'Daftar Produk &amp; Harga'!$C$29+AD16*'Daftar Produk &amp; Harga'!$C$30+AE16*'Daftar Produk &amp; Harga'!$C$31+AF16*'Daftar Produk &amp; Harga'!$C$32+AG16*'Daftar Produk &amp; Harga'!$C$33+AH16*'Daftar Produk &amp; Harga'!$C$34</x:f>
        <x:v>27535000</x:v>
      </x:c>
    </x:row>
    <x:row r="17" ht="18" customHeight="1">
      <x:c r="A17" s="178" t="n">
        <x:v>14</x:v>
      </x:c>
      <x:c r="B17" s="179" t="n">
        <x:v>46126</x:v>
      </x:c>
      <x:c r="C17" s="178" t="str">
        <x:v>Selasa</x:v>
      </x:c>
      <x:c r="D17" s="184" t="n">
        <x:v>0</x:v>
      </x:c>
      <x:c r="E17" s="184" t="n">
        <x:v>0</x:v>
      </x:c>
      <x:c r="F17" s="184" t="n">
        <x:v>0</x:v>
      </x:c>
      <x:c r="G17" s="184" t="n">
        <x:v>0</x:v>
      </x:c>
      <x:c r="H17" s="184" t="n">
        <x:v>0</x:v>
      </x:c>
      <x:c r="I17" s="184" t="n">
        <x:v>0</x:v>
      </x:c>
      <x:c r="J17" s="184" t="n">
        <x:v>0</x:v>
      </x:c>
      <x:c r="K17" s="184" t="n">
        <x:v>0</x:v>
      </x:c>
      <x:c r="L17" s="184" t="n">
        <x:v>0</x:v>
      </x:c>
      <x:c r="M17" s="184" t="n">
        <x:v>0</x:v>
      </x:c>
      <x:c r="N17" s="186" t="n">
        <x:v>30</x:v>
      </x:c>
      <x:c r="O17" s="186" t="n">
        <x:v>40</x:v>
      </x:c>
      <x:c r="P17" s="186" t="n">
        <x:v>35</x:v>
      </x:c>
      <x:c r="Q17" s="186" t="n">
        <x:v>40</x:v>
      </x:c>
      <x:c r="R17" s="186" t="n">
        <x:v>40</x:v>
      </x:c>
      <x:c r="S17" s="186" t="n">
        <x:v>40</x:v>
      </x:c>
      <x:c r="T17" s="186" t="n">
        <x:v>30</x:v>
      </x:c>
      <x:c r="U17" s="186" t="n">
        <x:v>35</x:v>
      </x:c>
      <x:c r="V17" s="186" t="n">
        <x:v>35</x:v>
      </x:c>
      <x:c r="W17" s="186" t="n">
        <x:v>30</x:v>
      </x:c>
      <x:c r="X17" s="186" t="n">
        <x:v>35</x:v>
      </x:c>
      <x:c r="Y17" s="186" t="n">
        <x:v>35</x:v>
      </x:c>
      <x:c r="Z17" s="186" t="n">
        <x:v>35</x:v>
      </x:c>
      <x:c r="AA17" s="186" t="n">
        <x:v>35</x:v>
      </x:c>
      <x:c r="AB17" s="186" t="n">
        <x:v>40</x:v>
      </x:c>
      <x:c r="AC17" s="186" t="n">
        <x:v>30</x:v>
      </x:c>
      <x:c r="AD17" s="186" t="n">
        <x:v>30</x:v>
      </x:c>
      <x:c r="AE17" s="186" t="n">
        <x:v>40</x:v>
      </x:c>
      <x:c r="AF17" s="186" t="n">
        <x:v>35</x:v>
      </x:c>
      <x:c r="AG17" s="186" t="n">
        <x:v>40</x:v>
      </x:c>
      <x:c r="AH17" s="186" t="n">
        <x:v>30</x:v>
      </x:c>
      <x:c r="AI17" s="188" t="n">
        <x:f>SUM(D17:AH17)</x:f>
        <x:v>740</x:v>
      </x:c>
      <x:c r="AJ17" s="196" t="n">
        <x:f>D17*'Daftar Produk &amp; Harga'!$C$4+E17*'Daftar Produk &amp; Harga'!$C$5+F17*'Daftar Produk &amp; Harga'!$C$6+G17*'Daftar Produk &amp; Harga'!$C$7+H17*'Daftar Produk &amp; Harga'!$C$8+I17*'Daftar Produk &amp; Harga'!$C$9+J17*'Daftar Produk &amp; Harga'!$C$10+K17*'Daftar Produk &amp; Harga'!$C$11+L17*'Daftar Produk &amp; Harga'!$C$12+M17*'Daftar Produk &amp; Harga'!$C$13+N17*'Daftar Produk &amp; Harga'!$C$14+O17*'Daftar Produk &amp; Harga'!$C$15+P17*'Daftar Produk &amp; Harga'!$C$16+Q17*'Daftar Produk &amp; Harga'!$C$17+R17*'Daftar Produk &amp; Harga'!$C$18+S17*'Daftar Produk &amp; Harga'!$C$19+T17*'Daftar Produk &amp; Harga'!$C$20+U17*'Daftar Produk &amp; Harga'!$C$21+V17*'Daftar Produk &amp; Harga'!$C$22+W17*'Daftar Produk &amp; Harga'!$C$23+X17*'Daftar Produk &amp; Harga'!$C$24+Y17*'Daftar Produk &amp; Harga'!$C$25+Z17*'Daftar Produk &amp; Harga'!$C$26+AA17*'Daftar Produk &amp; Harga'!$C$27+AB17*'Daftar Produk &amp; Harga'!$C$28+AC17*'Daftar Produk &amp; Harga'!$C$29+AD17*'Daftar Produk &amp; Harga'!$C$30+AE17*'Daftar Produk &amp; Harga'!$C$31+AF17*'Daftar Produk &amp; Harga'!$C$32+AG17*'Daftar Produk &amp; Harga'!$C$33+AH17*'Daftar Produk &amp; Harga'!$C$34</x:f>
        <x:v>23500000</x:v>
      </x:c>
    </x:row>
    <x:row r="18" ht="18" customHeight="1">
      <x:c r="A18" s="178" t="n">
        <x:v>15</x:v>
      </x:c>
      <x:c r="B18" s="179" t="n">
        <x:v>46127</x:v>
      </x:c>
      <x:c r="C18" s="178" t="str">
        <x:v>Rabu</x:v>
      </x:c>
      <x:c r="D18" s="184" t="n">
        <x:v>0</x:v>
      </x:c>
      <x:c r="E18" s="184" t="n">
        <x:v>0</x:v>
      </x:c>
      <x:c r="F18" s="184" t="n">
        <x:v>50</x:v>
      </x:c>
      <x:c r="G18" s="184" t="n">
        <x:v>0</x:v>
      </x:c>
      <x:c r="H18" s="184" t="n">
        <x:v>0</x:v>
      </x:c>
      <x:c r="I18" s="184" t="n">
        <x:v>0</x:v>
      </x:c>
      <x:c r="J18" s="184" t="n">
        <x:v>0</x:v>
      </x:c>
      <x:c r="K18" s="184" t="n">
        <x:v>0</x:v>
      </x:c>
      <x:c r="L18" s="184" t="n">
        <x:v>0</x:v>
      </x:c>
      <x:c r="M18" s="184" t="n">
        <x:v>0</x:v>
      </x:c>
      <x:c r="N18" s="186" t="n">
        <x:v>35</x:v>
      </x:c>
      <x:c r="O18" s="186" t="n">
        <x:v>30</x:v>
      </x:c>
      <x:c r="P18" s="186" t="n">
        <x:v>40</x:v>
      </x:c>
      <x:c r="Q18" s="186" t="n">
        <x:v>30</x:v>
      </x:c>
      <x:c r="R18" s="186" t="n">
        <x:v>40</x:v>
      </x:c>
      <x:c r="S18" s="186" t="n">
        <x:v>35</x:v>
      </x:c>
      <x:c r="T18" s="186" t="n">
        <x:v>40</x:v>
      </x:c>
      <x:c r="U18" s="186" t="n">
        <x:v>30</x:v>
      </x:c>
      <x:c r="V18" s="186" t="n">
        <x:v>30</x:v>
      </x:c>
      <x:c r="W18" s="186" t="n">
        <x:v>40</x:v>
      </x:c>
      <x:c r="X18" s="186" t="n">
        <x:v>35</x:v>
      </x:c>
      <x:c r="Y18" s="186" t="n">
        <x:v>30</x:v>
      </x:c>
      <x:c r="Z18" s="186" t="n">
        <x:v>30</x:v>
      </x:c>
      <x:c r="AA18" s="186" t="n">
        <x:v>40</x:v>
      </x:c>
      <x:c r="AB18" s="186" t="n">
        <x:v>35</x:v>
      </x:c>
      <x:c r="AC18" s="186" t="n">
        <x:v>30</x:v>
      </x:c>
      <x:c r="AD18" s="186" t="n">
        <x:v>35</x:v>
      </x:c>
      <x:c r="AE18" s="186" t="n">
        <x:v>35</x:v>
      </x:c>
      <x:c r="AF18" s="186" t="n">
        <x:v>35</x:v>
      </x:c>
      <x:c r="AG18" s="186" t="n">
        <x:v>40</x:v>
      </x:c>
      <x:c r="AH18" s="186" t="n">
        <x:v>30</x:v>
      </x:c>
      <x:c r="AI18" s="188" t="n">
        <x:f>SUM(D18:AH18)</x:f>
        <x:v>775</x:v>
      </x:c>
      <x:c r="AJ18" s="196" t="n">
        <x:f>D18*'Daftar Produk &amp; Harga'!$C$4+E18*'Daftar Produk &amp; Harga'!$C$5+F18*'Daftar Produk &amp; Harga'!$C$6+G18*'Daftar Produk &amp; Harga'!$C$7+H18*'Daftar Produk &amp; Harga'!$C$8+I18*'Daftar Produk &amp; Harga'!$C$9+J18*'Daftar Produk &amp; Harga'!$C$10+K18*'Daftar Produk &amp; Harga'!$C$11+L18*'Daftar Produk &amp; Harga'!$C$12+M18*'Daftar Produk &amp; Harga'!$C$13+N18*'Daftar Produk &amp; Harga'!$C$14+O18*'Daftar Produk &amp; Harga'!$C$15+P18*'Daftar Produk &amp; Harga'!$C$16+Q18*'Daftar Produk &amp; Harga'!$C$17+R18*'Daftar Produk &amp; Harga'!$C$18+S18*'Daftar Produk &amp; Harga'!$C$19+T18*'Daftar Produk &amp; Harga'!$C$20+U18*'Daftar Produk &amp; Harga'!$C$21+V18*'Daftar Produk &amp; Harga'!$C$22+W18*'Daftar Produk &amp; Harga'!$C$23+X18*'Daftar Produk &amp; Harga'!$C$24+Y18*'Daftar Produk &amp; Harga'!$C$25+Z18*'Daftar Produk &amp; Harga'!$C$26+AA18*'Daftar Produk &amp; Harga'!$C$27+AB18*'Daftar Produk &amp; Harga'!$C$28+AC18*'Daftar Produk &amp; Harga'!$C$29+AD18*'Daftar Produk &amp; Harga'!$C$30+AE18*'Daftar Produk &amp; Harga'!$C$31+AF18*'Daftar Produk &amp; Harga'!$C$32+AG18*'Daftar Produk &amp; Harga'!$C$33+AH18*'Daftar Produk &amp; Harga'!$C$34</x:f>
        <x:v>24070000</x:v>
      </x:c>
    </x:row>
    <x:row r="19" ht="18" customHeight="1">
      <x:c r="A19" s="178" t="n">
        <x:v>16</x:v>
      </x:c>
      <x:c r="B19" s="179" t="n">
        <x:v>46128</x:v>
      </x:c>
      <x:c r="C19" s="178" t="str">
        <x:v>Kamis</x:v>
      </x:c>
      <x:c r="D19" s="184" t="n">
        <x:v>40</x:v>
      </x:c>
      <x:c r="E19" s="184" t="n">
        <x:v>0</x:v>
      </x:c>
      <x:c r="F19" s="184" t="n">
        <x:v>50</x:v>
      </x:c>
      <x:c r="G19" s="184" t="n">
        <x:v>0</x:v>
      </x:c>
      <x:c r="H19" s="184" t="n">
        <x:v>0</x:v>
      </x:c>
      <x:c r="I19" s="184" t="n">
        <x:v>0</x:v>
      </x:c>
      <x:c r="J19" s="184" t="n">
        <x:v>0</x:v>
      </x:c>
      <x:c r="K19" s="184" t="n">
        <x:v>0</x:v>
      </x:c>
      <x:c r="L19" s="184" t="n">
        <x:v>0</x:v>
      </x:c>
      <x:c r="M19" s="184" t="n">
        <x:v>0</x:v>
      </x:c>
      <x:c r="N19" s="186" t="n">
        <x:v>40</x:v>
      </x:c>
      <x:c r="O19" s="186" t="n">
        <x:v>40</x:v>
      </x:c>
      <x:c r="P19" s="186" t="n">
        <x:v>40</x:v>
      </x:c>
      <x:c r="Q19" s="186" t="n">
        <x:v>40</x:v>
      </x:c>
      <x:c r="R19" s="186" t="n">
        <x:v>40</x:v>
      </x:c>
      <x:c r="S19" s="186" t="n">
        <x:v>35</x:v>
      </x:c>
      <x:c r="T19" s="186" t="n">
        <x:v>30</x:v>
      </x:c>
      <x:c r="U19" s="186" t="n">
        <x:v>40</x:v>
      </x:c>
      <x:c r="V19" s="186" t="n">
        <x:v>35</x:v>
      </x:c>
      <x:c r="W19" s="186" t="n">
        <x:v>30</x:v>
      </x:c>
      <x:c r="X19" s="186" t="n">
        <x:v>35</x:v>
      </x:c>
      <x:c r="Y19" s="186" t="n">
        <x:v>30</x:v>
      </x:c>
      <x:c r="Z19" s="186" t="n">
        <x:v>35</x:v>
      </x:c>
      <x:c r="AA19" s="186" t="n">
        <x:v>30</x:v>
      </x:c>
      <x:c r="AB19" s="186" t="n">
        <x:v>40</x:v>
      </x:c>
      <x:c r="AC19" s="186" t="n">
        <x:v>30</x:v>
      </x:c>
      <x:c r="AD19" s="186" t="n">
        <x:v>35</x:v>
      </x:c>
      <x:c r="AE19" s="186" t="n">
        <x:v>35</x:v>
      </x:c>
      <x:c r="AF19" s="186" t="n">
        <x:v>35</x:v>
      </x:c>
      <x:c r="AG19" s="186" t="n">
        <x:v>40</x:v>
      </x:c>
      <x:c r="AH19" s="186" t="n">
        <x:v>35</x:v>
      </x:c>
      <x:c r="AI19" s="188" t="n">
        <x:f>SUM(D19:AH19)</x:f>
        <x:v>840</x:v>
      </x:c>
      <x:c r="AJ19" s="196" t="n">
        <x:f>D19*'Daftar Produk &amp; Harga'!$C$4+E19*'Daftar Produk &amp; Harga'!$C$5+F19*'Daftar Produk &amp; Harga'!$C$6+G19*'Daftar Produk &amp; Harga'!$C$7+H19*'Daftar Produk &amp; Harga'!$C$8+I19*'Daftar Produk &amp; Harga'!$C$9+J19*'Daftar Produk &amp; Harga'!$C$10+K19*'Daftar Produk &amp; Harga'!$C$11+L19*'Daftar Produk &amp; Harga'!$C$12+M19*'Daftar Produk &amp; Harga'!$C$13+N19*'Daftar Produk &amp; Harga'!$C$14+O19*'Daftar Produk &amp; Harga'!$C$15+P19*'Daftar Produk &amp; Harga'!$C$16+Q19*'Daftar Produk &amp; Harga'!$C$17+R19*'Daftar Produk &amp; Harga'!$C$18+S19*'Daftar Produk &amp; Harga'!$C$19+T19*'Daftar Produk &amp; Harga'!$C$20+U19*'Daftar Produk &amp; Harga'!$C$21+V19*'Daftar Produk &amp; Harga'!$C$22+W19*'Daftar Produk &amp; Harga'!$C$23+X19*'Daftar Produk &amp; Harga'!$C$24+Y19*'Daftar Produk &amp; Harga'!$C$25+Z19*'Daftar Produk &amp; Harga'!$C$26+AA19*'Daftar Produk &amp; Harga'!$C$27+AB19*'Daftar Produk &amp; Harga'!$C$28+AC19*'Daftar Produk &amp; Harga'!$C$29+AD19*'Daftar Produk &amp; Harga'!$C$30+AE19*'Daftar Produk &amp; Harga'!$C$31+AF19*'Daftar Produk &amp; Harga'!$C$32+AG19*'Daftar Produk &amp; Harga'!$C$33+AH19*'Daftar Produk &amp; Harga'!$C$34</x:f>
        <x:v>25345000</x:v>
      </x:c>
    </x:row>
    <x:row r="20" ht="18" customHeight="1">
      <x:c r="A20" s="178" t="n">
        <x:v>17</x:v>
      </x:c>
      <x:c r="B20" s="179" t="n">
        <x:v>46129</x:v>
      </x:c>
      <x:c r="C20" s="178" t="str">
        <x:v>Jumat</x:v>
      </x:c>
      <x:c r="D20" s="184" t="n">
        <x:v>40</x:v>
      </x:c>
      <x:c r="E20" s="184" t="n">
        <x:v>0</x:v>
      </x:c>
      <x:c r="F20" s="184" t="n">
        <x:v>0</x:v>
      </x:c>
      <x:c r="G20" s="184" t="n">
        <x:v>0</x:v>
      </x:c>
      <x:c r="H20" s="184" t="n">
        <x:v>0</x:v>
      </x:c>
      <x:c r="I20" s="184" t="n">
        <x:v>0</x:v>
      </x:c>
      <x:c r="J20" s="184" t="n">
        <x:v>50</x:v>
      </x:c>
      <x:c r="K20" s="184" t="n">
        <x:v>0</x:v>
      </x:c>
      <x:c r="L20" s="184" t="n">
        <x:v>0</x:v>
      </x:c>
      <x:c r="M20" s="184" t="n">
        <x:v>0</x:v>
      </x:c>
      <x:c r="N20" s="186" t="n">
        <x:v>35</x:v>
      </x:c>
      <x:c r="O20" s="186" t="n">
        <x:v>40</x:v>
      </x:c>
      <x:c r="P20" s="186" t="n">
        <x:v>35</x:v>
      </x:c>
      <x:c r="Q20" s="186" t="n">
        <x:v>30</x:v>
      </x:c>
      <x:c r="R20" s="186" t="n">
        <x:v>30</x:v>
      </x:c>
      <x:c r="S20" s="186" t="n">
        <x:v>40</x:v>
      </x:c>
      <x:c r="T20" s="186" t="n">
        <x:v>35</x:v>
      </x:c>
      <x:c r="U20" s="186" t="n">
        <x:v>40</x:v>
      </x:c>
      <x:c r="V20" s="186" t="n">
        <x:v>35</x:v>
      </x:c>
      <x:c r="W20" s="186" t="n">
        <x:v>40</x:v>
      </x:c>
      <x:c r="X20" s="186" t="n">
        <x:v>35</x:v>
      </x:c>
      <x:c r="Y20" s="186" t="n">
        <x:v>40</x:v>
      </x:c>
      <x:c r="Z20" s="186" t="n">
        <x:v>35</x:v>
      </x:c>
      <x:c r="AA20" s="186" t="n">
        <x:v>35</x:v>
      </x:c>
      <x:c r="AB20" s="186" t="n">
        <x:v>35</x:v>
      </x:c>
      <x:c r="AC20" s="186" t="n">
        <x:v>40</x:v>
      </x:c>
      <x:c r="AD20" s="186" t="n">
        <x:v>40</x:v>
      </x:c>
      <x:c r="AE20" s="186" t="n">
        <x:v>30</x:v>
      </x:c>
      <x:c r="AF20" s="186" t="n">
        <x:v>30</x:v>
      </x:c>
      <x:c r="AG20" s="186" t="n">
        <x:v>40</x:v>
      </x:c>
      <x:c r="AH20" s="186" t="n">
        <x:v>40</x:v>
      </x:c>
      <x:c r="AI20" s="188" t="n">
        <x:f>SUM(D20:AH20)</x:f>
        <x:v>850</x:v>
      </x:c>
      <x:c r="AJ20" s="196" t="n">
        <x:f>D20*'Daftar Produk &amp; Harga'!$C$4+E20*'Daftar Produk &amp; Harga'!$C$5+F20*'Daftar Produk &amp; Harga'!$C$6+G20*'Daftar Produk &amp; Harga'!$C$7+H20*'Daftar Produk &amp; Harga'!$C$8+I20*'Daftar Produk &amp; Harga'!$C$9+J20*'Daftar Produk &amp; Harga'!$C$10+K20*'Daftar Produk &amp; Harga'!$C$11+L20*'Daftar Produk &amp; Harga'!$C$12+M20*'Daftar Produk &amp; Harga'!$C$13+N20*'Daftar Produk &amp; Harga'!$C$14+O20*'Daftar Produk &amp; Harga'!$C$15+P20*'Daftar Produk &amp; Harga'!$C$16+Q20*'Daftar Produk &amp; Harga'!$C$17+R20*'Daftar Produk &amp; Harga'!$C$18+S20*'Daftar Produk &amp; Harga'!$C$19+T20*'Daftar Produk &amp; Harga'!$C$20+U20*'Daftar Produk &amp; Harga'!$C$21+V20*'Daftar Produk &amp; Harga'!$C$22+W20*'Daftar Produk &amp; Harga'!$C$23+X20*'Daftar Produk &amp; Harga'!$C$24+Y20*'Daftar Produk &amp; Harga'!$C$25+Z20*'Daftar Produk &amp; Harga'!$C$26+AA20*'Daftar Produk &amp; Harga'!$C$27+AB20*'Daftar Produk &amp; Harga'!$C$28+AC20*'Daftar Produk &amp; Harga'!$C$29+AD20*'Daftar Produk &amp; Harga'!$C$30+AE20*'Daftar Produk &amp; Harga'!$C$31+AF20*'Daftar Produk &amp; Harga'!$C$32+AG20*'Daftar Produk &amp; Harga'!$C$33+AH20*'Daftar Produk &amp; Harga'!$C$34</x:f>
        <x:v>27395000</x:v>
      </x:c>
    </x:row>
    <x:row r="21" ht="18" customHeight="1">
      <x:c r="A21" s="178" t="n">
        <x:v>18</x:v>
      </x:c>
      <x:c r="B21" s="179" t="n">
        <x:v>46130</x:v>
      </x:c>
      <x:c r="C21" s="178" t="str">
        <x:v>Sabtu</x:v>
      </x:c>
      <x:c r="D21" s="184" t="n">
        <x:v>50</x:v>
      </x:c>
      <x:c r="E21" s="184" t="n">
        <x:v>0</x:v>
      </x:c>
      <x:c r="F21" s="184" t="n">
        <x:v>0</x:v>
      </x:c>
      <x:c r="G21" s="184" t="n">
        <x:v>0</x:v>
      </x:c>
      <x:c r="H21" s="184" t="n">
        <x:v>0</x:v>
      </x:c>
      <x:c r="I21" s="184" t="n">
        <x:v>0</x:v>
      </x:c>
      <x:c r="J21" s="184" t="n">
        <x:v>50</x:v>
      </x:c>
      <x:c r="K21" s="184" t="n">
        <x:v>0</x:v>
      </x:c>
      <x:c r="L21" s="184" t="n">
        <x:v>40</x:v>
      </x:c>
      <x:c r="M21" s="184" t="n">
        <x:v>0</x:v>
      </x:c>
      <x:c r="N21" s="186" t="n">
        <x:v>45</x:v>
      </x:c>
      <x:c r="O21" s="186" t="n">
        <x:v>45</x:v>
      </x:c>
      <x:c r="P21" s="186" t="n">
        <x:v>40</x:v>
      </x:c>
      <x:c r="Q21" s="186" t="n">
        <x:v>45</x:v>
      </x:c>
      <x:c r="R21" s="186" t="n">
        <x:v>40</x:v>
      </x:c>
      <x:c r="S21" s="186" t="n">
        <x:v>40</x:v>
      </x:c>
      <x:c r="T21" s="186" t="n">
        <x:v>45</x:v>
      </x:c>
      <x:c r="U21" s="186" t="n">
        <x:v>50</x:v>
      </x:c>
      <x:c r="V21" s="186" t="n">
        <x:v>40</x:v>
      </x:c>
      <x:c r="W21" s="186" t="n">
        <x:v>35</x:v>
      </x:c>
      <x:c r="X21" s="186" t="n">
        <x:v>45</x:v>
      </x:c>
      <x:c r="Y21" s="186" t="n">
        <x:v>50</x:v>
      </x:c>
      <x:c r="Z21" s="186" t="n">
        <x:v>50</x:v>
      </x:c>
      <x:c r="AA21" s="186" t="n">
        <x:v>45</x:v>
      </x:c>
      <x:c r="AB21" s="186" t="n">
        <x:v>35</x:v>
      </x:c>
      <x:c r="AC21" s="186" t="n">
        <x:v>45</x:v>
      </x:c>
      <x:c r="AD21" s="186" t="n">
        <x:v>45</x:v>
      </x:c>
      <x:c r="AE21" s="186" t="n">
        <x:v>50</x:v>
      </x:c>
      <x:c r="AF21" s="186" t="n">
        <x:v>45</x:v>
      </x:c>
      <x:c r="AG21" s="186" t="n">
        <x:v>50</x:v>
      </x:c>
      <x:c r="AH21" s="186" t="n">
        <x:v>35</x:v>
      </x:c>
      <x:c r="AI21" s="188" t="n">
        <x:f>SUM(D21:AH21)</x:f>
        <x:v>1060</x:v>
      </x:c>
      <x:c r="AJ21" s="196" t="n">
        <x:f>D21*'Daftar Produk &amp; Harga'!$C$4+E21*'Daftar Produk &amp; Harga'!$C$5+F21*'Daftar Produk &amp; Harga'!$C$6+G21*'Daftar Produk &amp; Harga'!$C$7+H21*'Daftar Produk &amp; Harga'!$C$8+I21*'Daftar Produk &amp; Harga'!$C$9+J21*'Daftar Produk &amp; Harga'!$C$10+K21*'Daftar Produk &amp; Harga'!$C$11+L21*'Daftar Produk &amp; Harga'!$C$12+M21*'Daftar Produk &amp; Harga'!$C$13+N21*'Daftar Produk &amp; Harga'!$C$14+O21*'Daftar Produk &amp; Harga'!$C$15+P21*'Daftar Produk &amp; Harga'!$C$16+Q21*'Daftar Produk &amp; Harga'!$C$17+R21*'Daftar Produk &amp; Harga'!$C$18+S21*'Daftar Produk &amp; Harga'!$C$19+T21*'Daftar Produk &amp; Harga'!$C$20+U21*'Daftar Produk &amp; Harga'!$C$21+V21*'Daftar Produk &amp; Harga'!$C$22+W21*'Daftar Produk &amp; Harga'!$C$23+X21*'Daftar Produk &amp; Harga'!$C$24+Y21*'Daftar Produk &amp; Harga'!$C$25+Z21*'Daftar Produk &amp; Harga'!$C$26+AA21*'Daftar Produk &amp; Harga'!$C$27+AB21*'Daftar Produk &amp; Harga'!$C$28+AC21*'Daftar Produk &amp; Harga'!$C$29+AD21*'Daftar Produk &amp; Harga'!$C$30+AE21*'Daftar Produk &amp; Harga'!$C$31+AF21*'Daftar Produk &amp; Harga'!$C$32+AG21*'Daftar Produk &amp; Harga'!$C$33+AH21*'Daftar Produk &amp; Harga'!$C$34</x:f>
        <x:v>34085000</x:v>
      </x:c>
    </x:row>
    <x:row r="22" ht="18" customHeight="1">
      <x:c r="A22" s="178" t="n">
        <x:v>19</x:v>
      </x:c>
      <x:c r="B22" s="179" t="n">
        <x:v>46131</x:v>
      </x:c>
      <x:c r="C22" s="178" t="str">
        <x:v>Minggu</x:v>
      </x:c>
      <x:c r="D22" s="184" t="n">
        <x:v>0</x:v>
      </x:c>
      <x:c r="E22" s="184" t="n">
        <x:v>0</x:v>
      </x:c>
      <x:c r="F22" s="184" t="n">
        <x:v>0</x:v>
      </x:c>
      <x:c r="G22" s="184" t="n">
        <x:v>0</x:v>
      </x:c>
      <x:c r="H22" s="184" t="n">
        <x:v>40</x:v>
      </x:c>
      <x:c r="I22" s="184" t="n">
        <x:v>0</x:v>
      </x:c>
      <x:c r="J22" s="184" t="n">
        <x:v>50</x:v>
      </x:c>
      <x:c r="K22" s="184" t="n">
        <x:v>0</x:v>
      </x:c>
      <x:c r="L22" s="184" t="n">
        <x:v>40</x:v>
      </x:c>
      <x:c r="M22" s="184" t="n">
        <x:v>0</x:v>
      </x:c>
      <x:c r="N22" s="186" t="n">
        <x:v>45</x:v>
      </x:c>
      <x:c r="O22" s="186" t="n">
        <x:v>45</x:v>
      </x:c>
      <x:c r="P22" s="186" t="n">
        <x:v>45</x:v>
      </x:c>
      <x:c r="Q22" s="186" t="n">
        <x:v>40</x:v>
      </x:c>
      <x:c r="R22" s="186" t="n">
        <x:v>45</x:v>
      </x:c>
      <x:c r="S22" s="186" t="n">
        <x:v>45</x:v>
      </x:c>
      <x:c r="T22" s="186" t="n">
        <x:v>35</x:v>
      </x:c>
      <x:c r="U22" s="186" t="n">
        <x:v>45</x:v>
      </x:c>
      <x:c r="V22" s="186" t="n">
        <x:v>40</x:v>
      </x:c>
      <x:c r="W22" s="186" t="n">
        <x:v>45</x:v>
      </x:c>
      <x:c r="X22" s="186" t="n">
        <x:v>40</x:v>
      </x:c>
      <x:c r="Y22" s="186" t="n">
        <x:v>40</x:v>
      </x:c>
      <x:c r="Z22" s="186" t="n">
        <x:v>35</x:v>
      </x:c>
      <x:c r="AA22" s="186" t="n">
        <x:v>50</x:v>
      </x:c>
      <x:c r="AB22" s="186" t="n">
        <x:v>40</x:v>
      </x:c>
      <x:c r="AC22" s="186" t="n">
        <x:v>35</x:v>
      </x:c>
      <x:c r="AD22" s="186" t="n">
        <x:v>40</x:v>
      </x:c>
      <x:c r="AE22" s="186" t="n">
        <x:v>40</x:v>
      </x:c>
      <x:c r="AF22" s="186" t="n">
        <x:v>45</x:v>
      </x:c>
      <x:c r="AG22" s="186" t="n">
        <x:v>45</x:v>
      </x:c>
      <x:c r="AH22" s="186" t="n">
        <x:v>45</x:v>
      </x:c>
      <x:c r="AI22" s="188" t="n">
        <x:f>SUM(D22:AH22)</x:f>
        <x:v>1015</x:v>
      </x:c>
      <x:c r="AJ22" s="196" t="n">
        <x:f>D22*'Daftar Produk &amp; Harga'!$C$4+E22*'Daftar Produk &amp; Harga'!$C$5+F22*'Daftar Produk &amp; Harga'!$C$6+G22*'Daftar Produk &amp; Harga'!$C$7+H22*'Daftar Produk &amp; Harga'!$C$8+I22*'Daftar Produk &amp; Harga'!$C$9+J22*'Daftar Produk &amp; Harga'!$C$10+K22*'Daftar Produk &amp; Harga'!$C$11+L22*'Daftar Produk &amp; Harga'!$C$12+M22*'Daftar Produk &amp; Harga'!$C$13+N22*'Daftar Produk &amp; Harga'!$C$14+O22*'Daftar Produk &amp; Harga'!$C$15+P22*'Daftar Produk &amp; Harga'!$C$16+Q22*'Daftar Produk &amp; Harga'!$C$17+R22*'Daftar Produk &amp; Harga'!$C$18+S22*'Daftar Produk &amp; Harga'!$C$19+T22*'Daftar Produk &amp; Harga'!$C$20+U22*'Daftar Produk &amp; Harga'!$C$21+V22*'Daftar Produk &amp; Harga'!$C$22+W22*'Daftar Produk &amp; Harga'!$C$23+X22*'Daftar Produk &amp; Harga'!$C$24+Y22*'Daftar Produk &amp; Harga'!$C$25+Z22*'Daftar Produk &amp; Harga'!$C$26+AA22*'Daftar Produk &amp; Harga'!$C$27+AB22*'Daftar Produk &amp; Harga'!$C$28+AC22*'Daftar Produk &amp; Harga'!$C$29+AD22*'Daftar Produk &amp; Harga'!$C$30+AE22*'Daftar Produk &amp; Harga'!$C$31+AF22*'Daftar Produk &amp; Harga'!$C$32+AG22*'Daftar Produk &amp; Harga'!$C$33+AH22*'Daftar Produk &amp; Harga'!$C$34</x:f>
        <x:v>33665000</x:v>
      </x:c>
    </x:row>
    <x:row r="23" ht="18" customHeight="1">
      <x:c r="A23" s="178" t="n">
        <x:v>20</x:v>
      </x:c>
      <x:c r="B23" s="179" t="n">
        <x:v>46132</x:v>
      </x:c>
      <x:c r="C23" s="178" t="str">
        <x:v>Senin</x:v>
      </x:c>
      <x:c r="D23" s="184" t="n">
        <x:v>0</x:v>
      </x:c>
      <x:c r="E23" s="184" t="n">
        <x:v>0</x:v>
      </x:c>
      <x:c r="F23" s="184" t="n">
        <x:v>0</x:v>
      </x:c>
      <x:c r="G23" s="184" t="n">
        <x:v>0</x:v>
      </x:c>
      <x:c r="H23" s="184" t="n">
        <x:v>50</x:v>
      </x:c>
      <x:c r="I23" s="184" t="n">
        <x:v>0</x:v>
      </x:c>
      <x:c r="J23" s="184" t="n">
        <x:v>0</x:v>
      </x:c>
      <x:c r="K23" s="184" t="n">
        <x:v>0</x:v>
      </x:c>
      <x:c r="L23" s="184" t="n">
        <x:v>50</x:v>
      </x:c>
      <x:c r="M23" s="184" t="n">
        <x:v>0</x:v>
      </x:c>
      <x:c r="N23" s="186" t="n">
        <x:v>35</x:v>
      </x:c>
      <x:c r="O23" s="186" t="n">
        <x:v>40</x:v>
      </x:c>
      <x:c r="P23" s="186" t="n">
        <x:v>35</x:v>
      </x:c>
      <x:c r="Q23" s="186" t="n">
        <x:v>40</x:v>
      </x:c>
      <x:c r="R23" s="186" t="n">
        <x:v>35</x:v>
      </x:c>
      <x:c r="S23" s="186" t="n">
        <x:v>30</x:v>
      </x:c>
      <x:c r="T23" s="186" t="n">
        <x:v>30</x:v>
      </x:c>
      <x:c r="U23" s="186" t="n">
        <x:v>30</x:v>
      </x:c>
      <x:c r="V23" s="186" t="n">
        <x:v>30</x:v>
      </x:c>
      <x:c r="W23" s="186" t="n">
        <x:v>30</x:v>
      </x:c>
      <x:c r="X23" s="186" t="n">
        <x:v>35</x:v>
      </x:c>
      <x:c r="Y23" s="186" t="n">
        <x:v>40</x:v>
      </x:c>
      <x:c r="Z23" s="186" t="n">
        <x:v>35</x:v>
      </x:c>
      <x:c r="AA23" s="186" t="n">
        <x:v>30</x:v>
      </x:c>
      <x:c r="AB23" s="186" t="n">
        <x:v>40</x:v>
      </x:c>
      <x:c r="AC23" s="186" t="n">
        <x:v>40</x:v>
      </x:c>
      <x:c r="AD23" s="186" t="n">
        <x:v>35</x:v>
      </x:c>
      <x:c r="AE23" s="186" t="n">
        <x:v>40</x:v>
      </x:c>
      <x:c r="AF23" s="186" t="n">
        <x:v>30</x:v>
      </x:c>
      <x:c r="AG23" s="186" t="n">
        <x:v>35</x:v>
      </x:c>
      <x:c r="AH23" s="186" t="n">
        <x:v>35</x:v>
      </x:c>
      <x:c r="AI23" s="188" t="n">
        <x:f>SUM(D23:AH23)</x:f>
        <x:v>830</x:v>
      </x:c>
      <x:c r="AJ23" s="196" t="n">
        <x:f>D23*'Daftar Produk &amp; Harga'!$C$4+E23*'Daftar Produk &amp; Harga'!$C$5+F23*'Daftar Produk &amp; Harga'!$C$6+G23*'Daftar Produk &amp; Harga'!$C$7+H23*'Daftar Produk &amp; Harga'!$C$8+I23*'Daftar Produk &amp; Harga'!$C$9+J23*'Daftar Produk &amp; Harga'!$C$10+K23*'Daftar Produk &amp; Harga'!$C$11+L23*'Daftar Produk &amp; Harga'!$C$12+M23*'Daftar Produk &amp; Harga'!$C$13+N23*'Daftar Produk &amp; Harga'!$C$14+O23*'Daftar Produk &amp; Harga'!$C$15+P23*'Daftar Produk &amp; Harga'!$C$16+Q23*'Daftar Produk &amp; Harga'!$C$17+R23*'Daftar Produk &amp; Harga'!$C$18+S23*'Daftar Produk &amp; Harga'!$C$19+T23*'Daftar Produk &amp; Harga'!$C$20+U23*'Daftar Produk &amp; Harga'!$C$21+V23*'Daftar Produk &amp; Harga'!$C$22+W23*'Daftar Produk &amp; Harga'!$C$23+X23*'Daftar Produk &amp; Harga'!$C$24+Y23*'Daftar Produk &amp; Harga'!$C$25+Z23*'Daftar Produk &amp; Harga'!$C$26+AA23*'Daftar Produk &amp; Harga'!$C$27+AB23*'Daftar Produk &amp; Harga'!$C$28+AC23*'Daftar Produk &amp; Harga'!$C$29+AD23*'Daftar Produk &amp; Harga'!$C$30+AE23*'Daftar Produk &amp; Harga'!$C$31+AF23*'Daftar Produk &amp; Harga'!$C$32+AG23*'Daftar Produk &amp; Harga'!$C$33+AH23*'Daftar Produk &amp; Harga'!$C$34</x:f>
        <x:v>27375000</x:v>
      </x:c>
    </x:row>
    <x:row r="24" ht="18" customHeight="1">
      <x:c r="A24" s="178" t="n">
        <x:v>21</x:v>
      </x:c>
      <x:c r="B24" s="179" t="n">
        <x:v>46133</x:v>
      </x:c>
      <x:c r="C24" s="178" t="str">
        <x:v>Selasa</x:v>
      </x:c>
      <x:c r="D24" s="184" t="n">
        <x:v>0</x:v>
      </x:c>
      <x:c r="E24" s="184" t="n">
        <x:v>0</x:v>
      </x:c>
      <x:c r="F24" s="184" t="n">
        <x:v>0</x:v>
      </x:c>
      <x:c r="G24" s="184" t="n">
        <x:v>0</x:v>
      </x:c>
      <x:c r="H24" s="184" t="n">
        <x:v>50</x:v>
      </x:c>
      <x:c r="I24" s="184" t="n">
        <x:v>0</x:v>
      </x:c>
      <x:c r="J24" s="184" t="n">
        <x:v>0</x:v>
      </x:c>
      <x:c r="K24" s="184" t="n">
        <x:v>0</x:v>
      </x:c>
      <x:c r="L24" s="184" t="n">
        <x:v>0</x:v>
      </x:c>
      <x:c r="M24" s="184" t="n">
        <x:v>40</x:v>
      </x:c>
      <x:c r="N24" s="186" t="n">
        <x:v>30</x:v>
      </x:c>
      <x:c r="O24" s="186" t="n">
        <x:v>35</x:v>
      </x:c>
      <x:c r="P24" s="186" t="n">
        <x:v>40</x:v>
      </x:c>
      <x:c r="Q24" s="186" t="n">
        <x:v>30</x:v>
      </x:c>
      <x:c r="R24" s="186" t="n">
        <x:v>40</x:v>
      </x:c>
      <x:c r="S24" s="186" t="n">
        <x:v>30</x:v>
      </x:c>
      <x:c r="T24" s="186" t="n">
        <x:v>35</x:v>
      </x:c>
      <x:c r="U24" s="186" t="n">
        <x:v>30</x:v>
      </x:c>
      <x:c r="V24" s="186" t="n">
        <x:v>40</x:v>
      </x:c>
      <x:c r="W24" s="186" t="n">
        <x:v>40</x:v>
      </x:c>
      <x:c r="X24" s="186" t="n">
        <x:v>35</x:v>
      </x:c>
      <x:c r="Y24" s="186" t="n">
        <x:v>35</x:v>
      </x:c>
      <x:c r="Z24" s="186" t="n">
        <x:v>35</x:v>
      </x:c>
      <x:c r="AA24" s="186" t="n">
        <x:v>35</x:v>
      </x:c>
      <x:c r="AB24" s="186" t="n">
        <x:v>30</x:v>
      </x:c>
      <x:c r="AC24" s="186" t="n">
        <x:v>40</x:v>
      </x:c>
      <x:c r="AD24" s="186" t="n">
        <x:v>30</x:v>
      </x:c>
      <x:c r="AE24" s="186" t="n">
        <x:v>35</x:v>
      </x:c>
      <x:c r="AF24" s="186" t="n">
        <x:v>40</x:v>
      </x:c>
      <x:c r="AG24" s="186" t="n">
        <x:v>35</x:v>
      </x:c>
      <x:c r="AH24" s="186" t="n">
        <x:v>35</x:v>
      </x:c>
      <x:c r="AI24" s="188" t="n">
        <x:f>SUM(D24:AH24)</x:f>
        <x:v>825</x:v>
      </x:c>
      <x:c r="AJ24" s="196" t="n">
        <x:f>D24*'Daftar Produk &amp; Harga'!$C$4+E24*'Daftar Produk &amp; Harga'!$C$5+F24*'Daftar Produk &amp; Harga'!$C$6+G24*'Daftar Produk &amp; Harga'!$C$7+H24*'Daftar Produk &amp; Harga'!$C$8+I24*'Daftar Produk &amp; Harga'!$C$9+J24*'Daftar Produk &amp; Harga'!$C$10+K24*'Daftar Produk &amp; Harga'!$C$11+L24*'Daftar Produk &amp; Harga'!$C$12+M24*'Daftar Produk &amp; Harga'!$C$13+N24*'Daftar Produk &amp; Harga'!$C$14+O24*'Daftar Produk &amp; Harga'!$C$15+P24*'Daftar Produk &amp; Harga'!$C$16+Q24*'Daftar Produk &amp; Harga'!$C$17+R24*'Daftar Produk &amp; Harga'!$C$18+S24*'Daftar Produk &amp; Harga'!$C$19+T24*'Daftar Produk &amp; Harga'!$C$20+U24*'Daftar Produk &amp; Harga'!$C$21+V24*'Daftar Produk &amp; Harga'!$C$22+W24*'Daftar Produk &amp; Harga'!$C$23+X24*'Daftar Produk &amp; Harga'!$C$24+Y24*'Daftar Produk &amp; Harga'!$C$25+Z24*'Daftar Produk &amp; Harga'!$C$26+AA24*'Daftar Produk &amp; Harga'!$C$27+AB24*'Daftar Produk &amp; Harga'!$C$28+AC24*'Daftar Produk &amp; Harga'!$C$29+AD24*'Daftar Produk &amp; Harga'!$C$30+AE24*'Daftar Produk &amp; Harga'!$C$31+AF24*'Daftar Produk &amp; Harga'!$C$32+AG24*'Daftar Produk &amp; Harga'!$C$33+AH24*'Daftar Produk &amp; Harga'!$C$34</x:f>
        <x:v>27250000</x:v>
      </x:c>
    </x:row>
    <x:row r="25" ht="18" customHeight="1">
      <x:c r="A25" s="178" t="n">
        <x:v>22</x:v>
      </x:c>
      <x:c r="B25" s="179" t="n">
        <x:v>46134</x:v>
      </x:c>
      <x:c r="C25" s="178" t="str">
        <x:v>Rabu</x:v>
      </x:c>
      <x:c r="D25" s="184" t="n">
        <x:v>0</x:v>
      </x:c>
      <x:c r="E25" s="184" t="n">
        <x:v>40</x:v>
      </x:c>
      <x:c r="F25" s="184" t="n">
        <x:v>0</x:v>
      </x:c>
      <x:c r="G25" s="184" t="n">
        <x:v>0</x:v>
      </x:c>
      <x:c r="H25" s="184" t="n">
        <x:v>0</x:v>
      </x:c>
      <x:c r="I25" s="184" t="n">
        <x:v>0</x:v>
      </x:c>
      <x:c r="J25" s="184" t="n">
        <x:v>0</x:v>
      </x:c>
      <x:c r="K25" s="184" t="n">
        <x:v>0</x:v>
      </x:c>
      <x:c r="L25" s="184" t="n">
        <x:v>0</x:v>
      </x:c>
      <x:c r="M25" s="184" t="n">
        <x:v>40</x:v>
      </x:c>
      <x:c r="N25" s="186" t="n">
        <x:v>35</x:v>
      </x:c>
      <x:c r="O25" s="186" t="n">
        <x:v>35</x:v>
      </x:c>
      <x:c r="P25" s="186" t="n">
        <x:v>40</x:v>
      </x:c>
      <x:c r="Q25" s="186" t="n">
        <x:v>40</x:v>
      </x:c>
      <x:c r="R25" s="186" t="n">
        <x:v>40</x:v>
      </x:c>
      <x:c r="S25" s="186" t="n">
        <x:v>40</x:v>
      </x:c>
      <x:c r="T25" s="186" t="n">
        <x:v>35</x:v>
      </x:c>
      <x:c r="U25" s="186" t="n">
        <x:v>40</x:v>
      </x:c>
      <x:c r="V25" s="186" t="n">
        <x:v>30</x:v>
      </x:c>
      <x:c r="W25" s="186" t="n">
        <x:v>40</x:v>
      </x:c>
      <x:c r="X25" s="186" t="n">
        <x:v>40</x:v>
      </x:c>
      <x:c r="Y25" s="186" t="n">
        <x:v>40</x:v>
      </x:c>
      <x:c r="Z25" s="186" t="n">
        <x:v>30</x:v>
      </x:c>
      <x:c r="AA25" s="186" t="n">
        <x:v>40</x:v>
      </x:c>
      <x:c r="AB25" s="186" t="n">
        <x:v>40</x:v>
      </x:c>
      <x:c r="AC25" s="186" t="n">
        <x:v>40</x:v>
      </x:c>
      <x:c r="AD25" s="186" t="n">
        <x:v>40</x:v>
      </x:c>
      <x:c r="AE25" s="186" t="n">
        <x:v>30</x:v>
      </x:c>
      <x:c r="AF25" s="186" t="n">
        <x:v>40</x:v>
      </x:c>
      <x:c r="AG25" s="186" t="n">
        <x:v>35</x:v>
      </x:c>
      <x:c r="AH25" s="186" t="n">
        <x:v>35</x:v>
      </x:c>
      <x:c r="AI25" s="188" t="n">
        <x:f>SUM(D25:AH25)</x:f>
        <x:v>865</x:v>
      </x:c>
      <x:c r="AJ25" s="196" t="n">
        <x:f>D25*'Daftar Produk &amp; Harga'!$C$4+E25*'Daftar Produk &amp; Harga'!$C$5+F25*'Daftar Produk &amp; Harga'!$C$6+G25*'Daftar Produk &amp; Harga'!$C$7+H25*'Daftar Produk &amp; Harga'!$C$8+I25*'Daftar Produk &amp; Harga'!$C$9+J25*'Daftar Produk &amp; Harga'!$C$10+K25*'Daftar Produk &amp; Harga'!$C$11+L25*'Daftar Produk &amp; Harga'!$C$12+M25*'Daftar Produk &amp; Harga'!$C$13+N25*'Daftar Produk &amp; Harga'!$C$14+O25*'Daftar Produk &amp; Harga'!$C$15+P25*'Daftar Produk &amp; Harga'!$C$16+Q25*'Daftar Produk &amp; Harga'!$C$17+R25*'Daftar Produk &amp; Harga'!$C$18+S25*'Daftar Produk &amp; Harga'!$C$19+T25*'Daftar Produk &amp; Harga'!$C$20+U25*'Daftar Produk &amp; Harga'!$C$21+V25*'Daftar Produk &amp; Harga'!$C$22+W25*'Daftar Produk &amp; Harga'!$C$23+X25*'Daftar Produk &amp; Harga'!$C$24+Y25*'Daftar Produk &amp; Harga'!$C$25+Z25*'Daftar Produk &amp; Harga'!$C$26+AA25*'Daftar Produk &amp; Harga'!$C$27+AB25*'Daftar Produk &amp; Harga'!$C$28+AC25*'Daftar Produk &amp; Harga'!$C$29+AD25*'Daftar Produk &amp; Harga'!$C$30+AE25*'Daftar Produk &amp; Harga'!$C$31+AF25*'Daftar Produk &amp; Harga'!$C$32+AG25*'Daftar Produk &amp; Harga'!$C$33+AH25*'Daftar Produk &amp; Harga'!$C$34</x:f>
        <x:v>28350000</x:v>
      </x:c>
    </x:row>
    <x:row r="26" ht="18" customHeight="1">
      <x:c r="A26" s="178" t="n">
        <x:v>23</x:v>
      </x:c>
      <x:c r="B26" s="179" t="n">
        <x:v>46135</x:v>
      </x:c>
      <x:c r="C26" s="178" t="str">
        <x:v>Kamis</x:v>
      </x:c>
      <x:c r="D26" s="184" t="n">
        <x:v>0</x:v>
      </x:c>
      <x:c r="E26" s="184" t="n">
        <x:v>40</x:v>
      </x:c>
      <x:c r="F26" s="184" t="n">
        <x:v>0</x:v>
      </x:c>
      <x:c r="G26" s="184" t="n">
        <x:v>0</x:v>
      </x:c>
      <x:c r="H26" s="184" t="n">
        <x:v>0</x:v>
      </x:c>
      <x:c r="I26" s="184" t="n">
        <x:v>40</x:v>
      </x:c>
      <x:c r="J26" s="184" t="n">
        <x:v>0</x:v>
      </x:c>
      <x:c r="K26" s="184" t="n">
        <x:v>0</x:v>
      </x:c>
      <x:c r="L26" s="184" t="n">
        <x:v>0</x:v>
      </x:c>
      <x:c r="M26" s="184" t="n">
        <x:v>50</x:v>
      </x:c>
      <x:c r="N26" s="186" t="n">
        <x:v>30</x:v>
      </x:c>
      <x:c r="O26" s="186" t="n">
        <x:v>30</x:v>
      </x:c>
      <x:c r="P26" s="186" t="n">
        <x:v>30</x:v>
      </x:c>
      <x:c r="Q26" s="186" t="n">
        <x:v>35</x:v>
      </x:c>
      <x:c r="R26" s="186" t="n">
        <x:v>30</x:v>
      </x:c>
      <x:c r="S26" s="186" t="n">
        <x:v>40</x:v>
      </x:c>
      <x:c r="T26" s="186" t="n">
        <x:v>30</x:v>
      </x:c>
      <x:c r="U26" s="186" t="n">
        <x:v>35</x:v>
      </x:c>
      <x:c r="V26" s="186" t="n">
        <x:v>30</x:v>
      </x:c>
      <x:c r="W26" s="186" t="n">
        <x:v>30</x:v>
      </x:c>
      <x:c r="X26" s="186" t="n">
        <x:v>35</x:v>
      </x:c>
      <x:c r="Y26" s="186" t="n">
        <x:v>30</x:v>
      </x:c>
      <x:c r="Z26" s="186" t="n">
        <x:v>30</x:v>
      </x:c>
      <x:c r="AA26" s="186" t="n">
        <x:v>35</x:v>
      </x:c>
      <x:c r="AB26" s="186" t="n">
        <x:v>40</x:v>
      </x:c>
      <x:c r="AC26" s="186" t="n">
        <x:v>35</x:v>
      </x:c>
      <x:c r="AD26" s="186" t="n">
        <x:v>30</x:v>
      </x:c>
      <x:c r="AE26" s="186" t="n">
        <x:v>35</x:v>
      </x:c>
      <x:c r="AF26" s="186" t="n">
        <x:v>40</x:v>
      </x:c>
      <x:c r="AG26" s="186" t="n">
        <x:v>35</x:v>
      </x:c>
      <x:c r="AH26" s="186" t="n">
        <x:v>40</x:v>
      </x:c>
      <x:c r="AI26" s="188" t="n">
        <x:f>SUM(D26:AH26)</x:f>
        <x:v>835</x:v>
      </x:c>
      <x:c r="AJ26" s="196" t="n">
        <x:f>D26*'Daftar Produk &amp; Harga'!$C$4+E26*'Daftar Produk &amp; Harga'!$C$5+F26*'Daftar Produk &amp; Harga'!$C$6+G26*'Daftar Produk &amp; Harga'!$C$7+H26*'Daftar Produk &amp; Harga'!$C$8+I26*'Daftar Produk &amp; Harga'!$C$9+J26*'Daftar Produk &amp; Harga'!$C$10+K26*'Daftar Produk &amp; Harga'!$C$11+L26*'Daftar Produk &amp; Harga'!$C$12+M26*'Daftar Produk &amp; Harga'!$C$13+N26*'Daftar Produk &amp; Harga'!$C$14+O26*'Daftar Produk &amp; Harga'!$C$15+P26*'Daftar Produk &amp; Harga'!$C$16+Q26*'Daftar Produk &amp; Harga'!$C$17+R26*'Daftar Produk &amp; Harga'!$C$18+S26*'Daftar Produk &amp; Harga'!$C$19+T26*'Daftar Produk &amp; Harga'!$C$20+U26*'Daftar Produk &amp; Harga'!$C$21+V26*'Daftar Produk &amp; Harga'!$C$22+W26*'Daftar Produk &amp; Harga'!$C$23+X26*'Daftar Produk &amp; Harga'!$C$24+Y26*'Daftar Produk &amp; Harga'!$C$25+Z26*'Daftar Produk &amp; Harga'!$C$26+AA26*'Daftar Produk &amp; Harga'!$C$27+AB26*'Daftar Produk &amp; Harga'!$C$28+AC26*'Daftar Produk &amp; Harga'!$C$29+AD26*'Daftar Produk &amp; Harga'!$C$30+AE26*'Daftar Produk &amp; Harga'!$C$31+AF26*'Daftar Produk &amp; Harga'!$C$32+AG26*'Daftar Produk &amp; Harga'!$C$33+AH26*'Daftar Produk &amp; Harga'!$C$34</x:f>
        <x:v>26630000</x:v>
      </x:c>
    </x:row>
    <x:row r="27" ht="18" customHeight="1">
      <x:c r="A27" s="178" t="n">
        <x:v>24</x:v>
      </x:c>
      <x:c r="B27" s="179" t="n">
        <x:v>46136</x:v>
      </x:c>
      <x:c r="C27" s="178" t="str">
        <x:v>Jumat</x:v>
      </x:c>
      <x:c r="D27" s="184" t="n">
        <x:v>0</x:v>
      </x:c>
      <x:c r="E27" s="184" t="n">
        <x:v>50</x:v>
      </x:c>
      <x:c r="F27" s="184" t="n">
        <x:v>0</x:v>
      </x:c>
      <x:c r="G27" s="184" t="n">
        <x:v>50</x:v>
      </x:c>
      <x:c r="H27" s="184" t="n">
        <x:v>0</x:v>
      </x:c>
      <x:c r="I27" s="184" t="n">
        <x:v>40</x:v>
      </x:c>
      <x:c r="J27" s="184" t="n">
        <x:v>0</x:v>
      </x:c>
      <x:c r="K27" s="184" t="n">
        <x:v>0</x:v>
      </x:c>
      <x:c r="L27" s="184" t="n">
        <x:v>0</x:v>
      </x:c>
      <x:c r="M27" s="184" t="n">
        <x:v>50</x:v>
      </x:c>
      <x:c r="N27" s="186" t="n">
        <x:v>35</x:v>
      </x:c>
      <x:c r="O27" s="186" t="n">
        <x:v>40</x:v>
      </x:c>
      <x:c r="P27" s="186" t="n">
        <x:v>30</x:v>
      </x:c>
      <x:c r="Q27" s="186" t="n">
        <x:v>35</x:v>
      </x:c>
      <x:c r="R27" s="186" t="n">
        <x:v>30</x:v>
      </x:c>
      <x:c r="S27" s="186" t="n">
        <x:v>40</x:v>
      </x:c>
      <x:c r="T27" s="186" t="n">
        <x:v>30</x:v>
      </x:c>
      <x:c r="U27" s="186" t="n">
        <x:v>35</x:v>
      </x:c>
      <x:c r="V27" s="186" t="n">
        <x:v>30</x:v>
      </x:c>
      <x:c r="W27" s="186" t="n">
        <x:v>30</x:v>
      </x:c>
      <x:c r="X27" s="186" t="n">
        <x:v>30</x:v>
      </x:c>
      <x:c r="Y27" s="186" t="n">
        <x:v>30</x:v>
      </x:c>
      <x:c r="Z27" s="186" t="n">
        <x:v>35</x:v>
      </x:c>
      <x:c r="AA27" s="186" t="n">
        <x:v>30</x:v>
      </x:c>
      <x:c r="AB27" s="186" t="n">
        <x:v>40</x:v>
      </x:c>
      <x:c r="AC27" s="186" t="n">
        <x:v>35</x:v>
      </x:c>
      <x:c r="AD27" s="186" t="n">
        <x:v>35</x:v>
      </x:c>
      <x:c r="AE27" s="186" t="n">
        <x:v>40</x:v>
      </x:c>
      <x:c r="AF27" s="186" t="n">
        <x:v>40</x:v>
      </x:c>
      <x:c r="AG27" s="186" t="n">
        <x:v>30</x:v>
      </x:c>
      <x:c r="AH27" s="186" t="n">
        <x:v>30</x:v>
      </x:c>
      <x:c r="AI27" s="188" t="n">
        <x:f>SUM(D27:AH27)</x:f>
        <x:v>900</x:v>
      </x:c>
      <x:c r="AJ27" s="196" t="n">
        <x:f>D27*'Daftar Produk &amp; Harga'!$C$4+E27*'Daftar Produk &amp; Harga'!$C$5+F27*'Daftar Produk &amp; Harga'!$C$6+G27*'Daftar Produk &amp; Harga'!$C$7+H27*'Daftar Produk &amp; Harga'!$C$8+I27*'Daftar Produk &amp; Harga'!$C$9+J27*'Daftar Produk &amp; Harga'!$C$10+K27*'Daftar Produk &amp; Harga'!$C$11+L27*'Daftar Produk &amp; Harga'!$C$12+M27*'Daftar Produk &amp; Harga'!$C$13+N27*'Daftar Produk &amp; Harga'!$C$14+O27*'Daftar Produk &amp; Harga'!$C$15+P27*'Daftar Produk &amp; Harga'!$C$16+Q27*'Daftar Produk &amp; Harga'!$C$17+R27*'Daftar Produk &amp; Harga'!$C$18+S27*'Daftar Produk &amp; Harga'!$C$19+T27*'Daftar Produk &amp; Harga'!$C$20+U27*'Daftar Produk &amp; Harga'!$C$21+V27*'Daftar Produk &amp; Harga'!$C$22+W27*'Daftar Produk &amp; Harga'!$C$23+X27*'Daftar Produk &amp; Harga'!$C$24+Y27*'Daftar Produk &amp; Harga'!$C$25+Z27*'Daftar Produk &amp; Harga'!$C$26+AA27*'Daftar Produk &amp; Harga'!$C$27+AB27*'Daftar Produk &amp; Harga'!$C$28+AC27*'Daftar Produk &amp; Harga'!$C$29+AD27*'Daftar Produk &amp; Harga'!$C$30+AE27*'Daftar Produk &amp; Harga'!$C$31+AF27*'Daftar Produk &amp; Harga'!$C$32+AG27*'Daftar Produk &amp; Harga'!$C$33+AH27*'Daftar Produk &amp; Harga'!$C$34</x:f>
        <x:v>29530000</x:v>
      </x:c>
    </x:row>
    <x:row r="28" ht="18" customHeight="1">
      <x:c r="A28" s="178" t="n">
        <x:v>25</x:v>
      </x:c>
      <x:c r="B28" s="179" t="n">
        <x:v>46137</x:v>
      </x:c>
      <x:c r="C28" s="178" t="str">
        <x:v>Sabtu</x:v>
      </x:c>
      <x:c r="D28" s="184" t="n">
        <x:v>0</x:v>
      </x:c>
      <x:c r="E28" s="184" t="n">
        <x:v>50</x:v>
      </x:c>
      <x:c r="F28" s="184" t="n">
        <x:v>0</x:v>
      </x:c>
      <x:c r="G28" s="184" t="n">
        <x:v>50</x:v>
      </x:c>
      <x:c r="H28" s="184" t="n">
        <x:v>0</x:v>
      </x:c>
      <x:c r="I28" s="184" t="n">
        <x:v>40</x:v>
      </x:c>
      <x:c r="J28" s="184" t="n">
        <x:v>0</x:v>
      </x:c>
      <x:c r="K28" s="184" t="n">
        <x:v>40</x:v>
      </x:c>
      <x:c r="L28" s="184" t="n">
        <x:v>0</x:v>
      </x:c>
      <x:c r="M28" s="184" t="n">
        <x:v>0</x:v>
      </x:c>
      <x:c r="N28" s="186" t="n">
        <x:v>45</x:v>
      </x:c>
      <x:c r="O28" s="186" t="n">
        <x:v>40</x:v>
      </x:c>
      <x:c r="P28" s="186" t="n">
        <x:v>50</x:v>
      </x:c>
      <x:c r="Q28" s="186" t="n">
        <x:v>45</x:v>
      </x:c>
      <x:c r="R28" s="186" t="n">
        <x:v>50</x:v>
      </x:c>
      <x:c r="S28" s="186" t="n">
        <x:v>45</x:v>
      </x:c>
      <x:c r="T28" s="186" t="n">
        <x:v>50</x:v>
      </x:c>
      <x:c r="U28" s="186" t="n">
        <x:v>35</x:v>
      </x:c>
      <x:c r="V28" s="186" t="n">
        <x:v>35</x:v>
      </x:c>
      <x:c r="W28" s="186" t="n">
        <x:v>40</x:v>
      </x:c>
      <x:c r="X28" s="186" t="n">
        <x:v>40</x:v>
      </x:c>
      <x:c r="Y28" s="186" t="n">
        <x:v>45</x:v>
      </x:c>
      <x:c r="Z28" s="186" t="n">
        <x:v>40</x:v>
      </x:c>
      <x:c r="AA28" s="186" t="n">
        <x:v>50</x:v>
      </x:c>
      <x:c r="AB28" s="186" t="n">
        <x:v>40</x:v>
      </x:c>
      <x:c r="AC28" s="186" t="n">
        <x:v>50</x:v>
      </x:c>
      <x:c r="AD28" s="186" t="n">
        <x:v>40</x:v>
      </x:c>
      <x:c r="AE28" s="186" t="n">
        <x:v>35</x:v>
      </x:c>
      <x:c r="AF28" s="186" t="n">
        <x:v>35</x:v>
      </x:c>
      <x:c r="AG28" s="186" t="n">
        <x:v>50</x:v>
      </x:c>
      <x:c r="AH28" s="186" t="n">
        <x:v>45</x:v>
      </x:c>
      <x:c r="AI28" s="188" t="n">
        <x:f>SUM(D28:AH28)</x:f>
        <x:v>1085</x:v>
      </x:c>
      <x:c r="AJ28" s="196" t="n">
        <x:f>D28*'Daftar Produk &amp; Harga'!$C$4+E28*'Daftar Produk &amp; Harga'!$C$5+F28*'Daftar Produk &amp; Harga'!$C$6+G28*'Daftar Produk &amp; Harga'!$C$7+H28*'Daftar Produk &amp; Harga'!$C$8+I28*'Daftar Produk &amp; Harga'!$C$9+J28*'Daftar Produk &amp; Harga'!$C$10+K28*'Daftar Produk &amp; Harga'!$C$11+L28*'Daftar Produk &amp; Harga'!$C$12+M28*'Daftar Produk &amp; Harga'!$C$13+N28*'Daftar Produk &amp; Harga'!$C$14+O28*'Daftar Produk &amp; Harga'!$C$15+P28*'Daftar Produk &amp; Harga'!$C$16+Q28*'Daftar Produk &amp; Harga'!$C$17+R28*'Daftar Produk &amp; Harga'!$C$18+S28*'Daftar Produk &amp; Harga'!$C$19+T28*'Daftar Produk &amp; Harga'!$C$20+U28*'Daftar Produk &amp; Harga'!$C$21+V28*'Daftar Produk &amp; Harga'!$C$22+W28*'Daftar Produk &amp; Harga'!$C$23+X28*'Daftar Produk &amp; Harga'!$C$24+Y28*'Daftar Produk &amp; Harga'!$C$25+Z28*'Daftar Produk &amp; Harga'!$C$26+AA28*'Daftar Produk &amp; Harga'!$C$27+AB28*'Daftar Produk &amp; Harga'!$C$28+AC28*'Daftar Produk &amp; Harga'!$C$29+AD28*'Daftar Produk &amp; Harga'!$C$30+AE28*'Daftar Produk &amp; Harga'!$C$31+AF28*'Daftar Produk &amp; Harga'!$C$32+AG28*'Daftar Produk &amp; Harga'!$C$33+AH28*'Daftar Produk &amp; Harga'!$C$34</x:f>
        <x:v>37155000</x:v>
      </x:c>
    </x:row>
    <x:row r="29" ht="18" customHeight="1">
      <x:c r="A29" s="178" t="n">
        <x:v>26</x:v>
      </x:c>
      <x:c r="B29" s="179" t="n">
        <x:v>46138</x:v>
      </x:c>
      <x:c r="C29" s="178" t="str">
        <x:v>Minggu</x:v>
      </x:c>
      <x:c r="D29" s="184" t="n">
        <x:v>0</x:v>
      </x:c>
      <x:c r="E29" s="184" t="n">
        <x:v>0</x:v>
      </x:c>
      <x:c r="F29" s="184" t="n">
        <x:v>0</x:v>
      </x:c>
      <x:c r="G29" s="184" t="n">
        <x:v>0</x:v>
      </x:c>
      <x:c r="H29" s="184" t="n">
        <x:v>0</x:v>
      </x:c>
      <x:c r="I29" s="184" t="n">
        <x:v>50</x:v>
      </x:c>
      <x:c r="J29" s="184" t="n">
        <x:v>0</x:v>
      </x:c>
      <x:c r="K29" s="184" t="n">
        <x:v>50</x:v>
      </x:c>
      <x:c r="L29" s="184" t="n">
        <x:v>0</x:v>
      </x:c>
      <x:c r="M29" s="184" t="n">
        <x:v>0</x:v>
      </x:c>
      <x:c r="N29" s="186" t="n">
        <x:v>40</x:v>
      </x:c>
      <x:c r="O29" s="186" t="n">
        <x:v>40</x:v>
      </x:c>
      <x:c r="P29" s="186" t="n">
        <x:v>45</x:v>
      </x:c>
      <x:c r="Q29" s="186" t="n">
        <x:v>45</x:v>
      </x:c>
      <x:c r="R29" s="186" t="n">
        <x:v>45</x:v>
      </x:c>
      <x:c r="S29" s="186" t="n">
        <x:v>45</x:v>
      </x:c>
      <x:c r="T29" s="186" t="n">
        <x:v>40</x:v>
      </x:c>
      <x:c r="U29" s="186" t="n">
        <x:v>45</x:v>
      </x:c>
      <x:c r="V29" s="186" t="n">
        <x:v>50</x:v>
      </x:c>
      <x:c r="W29" s="186" t="n">
        <x:v>50</x:v>
      </x:c>
      <x:c r="X29" s="186" t="n">
        <x:v>45</x:v>
      </x:c>
      <x:c r="Y29" s="186" t="n">
        <x:v>40</x:v>
      </x:c>
      <x:c r="Z29" s="186" t="n">
        <x:v>50</x:v>
      </x:c>
      <x:c r="AA29" s="186" t="n">
        <x:v>40</x:v>
      </x:c>
      <x:c r="AB29" s="186" t="n">
        <x:v>40</x:v>
      </x:c>
      <x:c r="AC29" s="186" t="n">
        <x:v>50</x:v>
      </x:c>
      <x:c r="AD29" s="186" t="n">
        <x:v>35</x:v>
      </x:c>
      <x:c r="AE29" s="186" t="n">
        <x:v>45</x:v>
      </x:c>
      <x:c r="AF29" s="186" t="n">
        <x:v>45</x:v>
      </x:c>
      <x:c r="AG29" s="186" t="n">
        <x:v>45</x:v>
      </x:c>
      <x:c r="AH29" s="186" t="n">
        <x:v>50</x:v>
      </x:c>
      <x:c r="AI29" s="188" t="n">
        <x:f>SUM(D29:AH29)</x:f>
        <x:v>1030</x:v>
      </x:c>
      <x:c r="AJ29" s="196" t="n">
        <x:f>D29*'Daftar Produk &amp; Harga'!$C$4+E29*'Daftar Produk &amp; Harga'!$C$5+F29*'Daftar Produk &amp; Harga'!$C$6+G29*'Daftar Produk &amp; Harga'!$C$7+H29*'Daftar Produk &amp; Harga'!$C$8+I29*'Daftar Produk &amp; Harga'!$C$9+J29*'Daftar Produk &amp; Harga'!$C$10+K29*'Daftar Produk &amp; Harga'!$C$11+L29*'Daftar Produk &amp; Harga'!$C$12+M29*'Daftar Produk &amp; Harga'!$C$13+N29*'Daftar Produk &amp; Harga'!$C$14+O29*'Daftar Produk &amp; Harga'!$C$15+P29*'Daftar Produk &amp; Harga'!$C$16+Q29*'Daftar Produk &amp; Harga'!$C$17+R29*'Daftar Produk &amp; Harga'!$C$18+S29*'Daftar Produk &amp; Harga'!$C$19+T29*'Daftar Produk &amp; Harga'!$C$20+U29*'Daftar Produk &amp; Harga'!$C$21+V29*'Daftar Produk &amp; Harga'!$C$22+W29*'Daftar Produk &amp; Harga'!$C$23+X29*'Daftar Produk &amp; Harga'!$C$24+Y29*'Daftar Produk &amp; Harga'!$C$25+Z29*'Daftar Produk &amp; Harga'!$C$26+AA29*'Daftar Produk &amp; Harga'!$C$27+AB29*'Daftar Produk &amp; Harga'!$C$28+AC29*'Daftar Produk &amp; Harga'!$C$29+AD29*'Daftar Produk &amp; Harga'!$C$30+AE29*'Daftar Produk &amp; Harga'!$C$31+AF29*'Daftar Produk &amp; Harga'!$C$32+AG29*'Daftar Produk &amp; Harga'!$C$33+AH29*'Daftar Produk &amp; Harga'!$C$34</x:f>
        <x:v>34650000</x:v>
      </x:c>
    </x:row>
    <x:row r="30" ht="18" customHeight="1">
      <x:c r="A30" s="178" t="n">
        <x:v>27</x:v>
      </x:c>
      <x:c r="B30" s="179" t="n">
        <x:v>46139</x:v>
      </x:c>
      <x:c r="C30" s="178" t="str">
        <x:v>Senin</x:v>
      </x:c>
      <x:c r="D30" s="184" t="n">
        <x:v>0</x:v>
      </x:c>
      <x:c r="E30" s="184" t="n">
        <x:v>0</x:v>
      </x:c>
      <x:c r="F30" s="184" t="n">
        <x:v>50</x:v>
      </x:c>
      <x:c r="G30" s="184" t="n">
        <x:v>0</x:v>
      </x:c>
      <x:c r="H30" s="184" t="n">
        <x:v>0</x:v>
      </x:c>
      <x:c r="I30" s="184" t="n">
        <x:v>0</x:v>
      </x:c>
      <x:c r="J30" s="184" t="n">
        <x:v>0</x:v>
      </x:c>
      <x:c r="K30" s="184" t="n">
        <x:v>50</x:v>
      </x:c>
      <x:c r="L30" s="184" t="n">
        <x:v>0</x:v>
      </x:c>
      <x:c r="M30" s="184" t="n">
        <x:v>0</x:v>
      </x:c>
      <x:c r="N30" s="186" t="n">
        <x:v>40</x:v>
      </x:c>
      <x:c r="O30" s="186" t="n">
        <x:v>40</x:v>
      </x:c>
      <x:c r="P30" s="186" t="n">
        <x:v>40</x:v>
      </x:c>
      <x:c r="Q30" s="186" t="n">
        <x:v>30</x:v>
      </x:c>
      <x:c r="R30" s="186" t="n">
        <x:v>35</x:v>
      </x:c>
      <x:c r="S30" s="186" t="n">
        <x:v>40</x:v>
      </x:c>
      <x:c r="T30" s="186" t="n">
        <x:v>35</x:v>
      </x:c>
      <x:c r="U30" s="186" t="n">
        <x:v>35</x:v>
      </x:c>
      <x:c r="V30" s="186" t="n">
        <x:v>40</x:v>
      </x:c>
      <x:c r="W30" s="186" t="n">
        <x:v>35</x:v>
      </x:c>
      <x:c r="X30" s="186" t="n">
        <x:v>30</x:v>
      </x:c>
      <x:c r="Y30" s="186" t="n">
        <x:v>30</x:v>
      </x:c>
      <x:c r="Z30" s="186" t="n">
        <x:v>30</x:v>
      </x:c>
      <x:c r="AA30" s="186" t="n">
        <x:v>30</x:v>
      </x:c>
      <x:c r="AB30" s="186" t="n">
        <x:v>40</x:v>
      </x:c>
      <x:c r="AC30" s="186" t="n">
        <x:v>35</x:v>
      </x:c>
      <x:c r="AD30" s="186" t="n">
        <x:v>30</x:v>
      </x:c>
      <x:c r="AE30" s="186" t="n">
        <x:v>30</x:v>
      </x:c>
      <x:c r="AF30" s="186" t="n">
        <x:v>30</x:v>
      </x:c>
      <x:c r="AG30" s="186" t="n">
        <x:v>40</x:v>
      </x:c>
      <x:c r="AH30" s="186" t="n">
        <x:v>40</x:v>
      </x:c>
      <x:c r="AI30" s="188" t="n">
        <x:f>SUM(D30:AH30)</x:f>
        <x:v>835</x:v>
      </x:c>
      <x:c r="AJ30" s="196" t="n">
        <x:f>D30*'Daftar Produk &amp; Harga'!$C$4+E30*'Daftar Produk &amp; Harga'!$C$5+F30*'Daftar Produk &amp; Harga'!$C$6+G30*'Daftar Produk &amp; Harga'!$C$7+H30*'Daftar Produk &amp; Harga'!$C$8+I30*'Daftar Produk &amp; Harga'!$C$9+J30*'Daftar Produk &amp; Harga'!$C$10+K30*'Daftar Produk &amp; Harga'!$C$11+L30*'Daftar Produk &amp; Harga'!$C$12+M30*'Daftar Produk &amp; Harga'!$C$13+N30*'Daftar Produk &amp; Harga'!$C$14+O30*'Daftar Produk &amp; Harga'!$C$15+P30*'Daftar Produk &amp; Harga'!$C$16+Q30*'Daftar Produk &amp; Harga'!$C$17+R30*'Daftar Produk &amp; Harga'!$C$18+S30*'Daftar Produk &amp; Harga'!$C$19+T30*'Daftar Produk &amp; Harga'!$C$20+U30*'Daftar Produk &amp; Harga'!$C$21+V30*'Daftar Produk &amp; Harga'!$C$22+W30*'Daftar Produk &amp; Harga'!$C$23+X30*'Daftar Produk &amp; Harga'!$C$24+Y30*'Daftar Produk &amp; Harga'!$C$25+Z30*'Daftar Produk &amp; Harga'!$C$26+AA30*'Daftar Produk &amp; Harga'!$C$27+AB30*'Daftar Produk &amp; Harga'!$C$28+AC30*'Daftar Produk &amp; Harga'!$C$29+AD30*'Daftar Produk &amp; Harga'!$C$30+AE30*'Daftar Produk &amp; Harga'!$C$31+AF30*'Daftar Produk &amp; Harga'!$C$32+AG30*'Daftar Produk &amp; Harga'!$C$33+AH30*'Daftar Produk &amp; Harga'!$C$34</x:f>
        <x:v>27755000</x:v>
      </x:c>
    </x:row>
    <x:row r="31" ht="18" customHeight="1">
      <x:c r="A31" s="178" t="n">
        <x:v>28</x:v>
      </x:c>
      <x:c r="B31" s="179" t="n">
        <x:v>46140</x:v>
      </x:c>
      <x:c r="C31" s="178" t="str">
        <x:v>Selasa</x:v>
      </x:c>
      <x:c r="D31" s="184" t="n">
        <x:v>50</x:v>
      </x:c>
      <x:c r="E31" s="184" t="n">
        <x:v>0</x:v>
      </x:c>
      <x:c r="F31" s="184" t="n">
        <x:v>60</x:v>
      </x:c>
      <x:c r="G31" s="184" t="n">
        <x:v>0</x:v>
      </x:c>
      <x:c r="H31" s="184" t="n">
        <x:v>0</x:v>
      </x:c>
      <x:c r="I31" s="184" t="n">
        <x:v>0</x:v>
      </x:c>
      <x:c r="J31" s="184" t="n">
        <x:v>0</x:v>
      </x:c>
      <x:c r="K31" s="184" t="n">
        <x:v>50</x:v>
      </x:c>
      <x:c r="L31" s="184" t="n">
        <x:v>0</x:v>
      </x:c>
      <x:c r="M31" s="184" t="n">
        <x:v>0</x:v>
      </x:c>
      <x:c r="N31" s="186" t="n">
        <x:v>35</x:v>
      </x:c>
      <x:c r="O31" s="186" t="n">
        <x:v>35</x:v>
      </x:c>
      <x:c r="P31" s="186" t="n">
        <x:v>40</x:v>
      </x:c>
      <x:c r="Q31" s="186" t="n">
        <x:v>30</x:v>
      </x:c>
      <x:c r="R31" s="186" t="n">
        <x:v>40</x:v>
      </x:c>
      <x:c r="S31" s="186" t="n">
        <x:v>40</x:v>
      </x:c>
      <x:c r="T31" s="186" t="n">
        <x:v>35</x:v>
      </x:c>
      <x:c r="U31" s="186" t="n">
        <x:v>40</x:v>
      </x:c>
      <x:c r="V31" s="186" t="n">
        <x:v>35</x:v>
      </x:c>
      <x:c r="W31" s="186" t="n">
        <x:v>35</x:v>
      </x:c>
      <x:c r="X31" s="186" t="n">
        <x:v>30</x:v>
      </x:c>
      <x:c r="Y31" s="186" t="n">
        <x:v>30</x:v>
      </x:c>
      <x:c r="Z31" s="186" t="n">
        <x:v>35</x:v>
      </x:c>
      <x:c r="AA31" s="186" t="n">
        <x:v>30</x:v>
      </x:c>
      <x:c r="AB31" s="186" t="n">
        <x:v>30</x:v>
      </x:c>
      <x:c r="AC31" s="186" t="n">
        <x:v>40</x:v>
      </x:c>
      <x:c r="AD31" s="186" t="n">
        <x:v>40</x:v>
      </x:c>
      <x:c r="AE31" s="186" t="n">
        <x:v>40</x:v>
      </x:c>
      <x:c r="AF31" s="186" t="n">
        <x:v>30</x:v>
      </x:c>
      <x:c r="AG31" s="186" t="n">
        <x:v>35</x:v>
      </x:c>
      <x:c r="AH31" s="186" t="n">
        <x:v>35</x:v>
      </x:c>
      <x:c r="AI31" s="188" t="n">
        <x:f>SUM(D31:AH31)</x:f>
        <x:v>900</x:v>
      </x:c>
      <x:c r="AJ31" s="196" t="n">
        <x:f>D31*'Daftar Produk &amp; Harga'!$C$4+E31*'Daftar Produk &amp; Harga'!$C$5+F31*'Daftar Produk &amp; Harga'!$C$6+G31*'Daftar Produk &amp; Harga'!$C$7+H31*'Daftar Produk &amp; Harga'!$C$8+I31*'Daftar Produk &amp; Harga'!$C$9+J31*'Daftar Produk &amp; Harga'!$C$10+K31*'Daftar Produk &amp; Harga'!$C$11+L31*'Daftar Produk &amp; Harga'!$C$12+M31*'Daftar Produk &amp; Harga'!$C$13+N31*'Daftar Produk &amp; Harga'!$C$14+O31*'Daftar Produk &amp; Harga'!$C$15+P31*'Daftar Produk &amp; Harga'!$C$16+Q31*'Daftar Produk &amp; Harga'!$C$17+R31*'Daftar Produk &amp; Harga'!$C$18+S31*'Daftar Produk &amp; Harga'!$C$19+T31*'Daftar Produk &amp; Harga'!$C$20+U31*'Daftar Produk &amp; Harga'!$C$21+V31*'Daftar Produk &amp; Harga'!$C$22+W31*'Daftar Produk &amp; Harga'!$C$23+X31*'Daftar Produk &amp; Harga'!$C$24+Y31*'Daftar Produk &amp; Harga'!$C$25+Z31*'Daftar Produk &amp; Harga'!$C$26+AA31*'Daftar Produk &amp; Harga'!$C$27+AB31*'Daftar Produk &amp; Harga'!$C$28+AC31*'Daftar Produk &amp; Harga'!$C$29+AD31*'Daftar Produk &amp; Harga'!$C$30+AE31*'Daftar Produk &amp; Harga'!$C$31+AF31*'Daftar Produk &amp; Harga'!$C$32+AG31*'Daftar Produk &amp; Harga'!$C$33+AH31*'Daftar Produk &amp; Harga'!$C$34</x:f>
        <x:v>28870000</x:v>
      </x:c>
    </x:row>
    <x:row r="32" ht="18" customHeight="1">
      <x:c r="A32" s="178" t="n">
        <x:v>29</x:v>
      </x:c>
      <x:c r="B32" s="179" t="n">
        <x:v>46141</x:v>
      </x:c>
      <x:c r="C32" s="178" t="str">
        <x:v>Rabu</x:v>
      </x:c>
      <x:c r="D32" s="184" t="n">
        <x:v>50</x:v>
      </x:c>
      <x:c r="E32" s="184" t="n">
        <x:v>0</x:v>
      </x:c>
      <x:c r="F32" s="184" t="n">
        <x:v>0</x:v>
      </x:c>
      <x:c r="G32" s="184" t="n">
        <x:v>0</x:v>
      </x:c>
      <x:c r="H32" s="184" t="n">
        <x:v>0</x:v>
      </x:c>
      <x:c r="I32" s="184" t="n">
        <x:v>0</x:v>
      </x:c>
      <x:c r="J32" s="184" t="n">
        <x:v>60</x:v>
      </x:c>
      <x:c r="K32" s="184" t="n">
        <x:v>0</x:v>
      </x:c>
      <x:c r="L32" s="184" t="n">
        <x:v>0</x:v>
      </x:c>
      <x:c r="M32" s="184" t="n">
        <x:v>0</x:v>
      </x:c>
      <x:c r="N32" s="186" t="n">
        <x:v>35</x:v>
      </x:c>
      <x:c r="O32" s="186" t="n">
        <x:v>40</x:v>
      </x:c>
      <x:c r="P32" s="186" t="n">
        <x:v>40</x:v>
      </x:c>
      <x:c r="Q32" s="186" t="n">
        <x:v>40</x:v>
      </x:c>
      <x:c r="R32" s="186" t="n">
        <x:v>40</x:v>
      </x:c>
      <x:c r="S32" s="186" t="n">
        <x:v>35</x:v>
      </x:c>
      <x:c r="T32" s="186" t="n">
        <x:v>35</x:v>
      </x:c>
      <x:c r="U32" s="186" t="n">
        <x:v>40</x:v>
      </x:c>
      <x:c r="V32" s="186" t="n">
        <x:v>35</x:v>
      </x:c>
      <x:c r="W32" s="186" t="n">
        <x:v>40</x:v>
      </x:c>
      <x:c r="X32" s="186" t="n">
        <x:v>40</x:v>
      </x:c>
      <x:c r="Y32" s="186" t="n">
        <x:v>35</x:v>
      </x:c>
      <x:c r="Z32" s="186" t="n">
        <x:v>30</x:v>
      </x:c>
      <x:c r="AA32" s="186" t="n">
        <x:v>30</x:v>
      </x:c>
      <x:c r="AB32" s="186" t="n">
        <x:v>40</x:v>
      </x:c>
      <x:c r="AC32" s="186" t="n">
        <x:v>30</x:v>
      </x:c>
      <x:c r="AD32" s="186" t="n">
        <x:v>35</x:v>
      </x:c>
      <x:c r="AE32" s="186" t="n">
        <x:v>35</x:v>
      </x:c>
      <x:c r="AF32" s="186" t="n">
        <x:v>35</x:v>
      </x:c>
      <x:c r="AG32" s="186" t="n">
        <x:v>30</x:v>
      </x:c>
      <x:c r="AH32" s="186" t="n">
        <x:v>40</x:v>
      </x:c>
      <x:c r="AI32" s="188" t="n">
        <x:f>SUM(D32:AH32)</x:f>
        <x:v>870</x:v>
      </x:c>
      <x:c r="AJ32" s="196" t="n">
        <x:f>D32*'Daftar Produk &amp; Harga'!$C$4+E32*'Daftar Produk &amp; Harga'!$C$5+F32*'Daftar Produk &amp; Harga'!$C$6+G32*'Daftar Produk &amp; Harga'!$C$7+H32*'Daftar Produk &amp; Harga'!$C$8+I32*'Daftar Produk &amp; Harga'!$C$9+J32*'Daftar Produk &amp; Harga'!$C$10+K32*'Daftar Produk &amp; Harga'!$C$11+L32*'Daftar Produk &amp; Harga'!$C$12+M32*'Daftar Produk &amp; Harga'!$C$13+N32*'Daftar Produk &amp; Harga'!$C$14+O32*'Daftar Produk &amp; Harga'!$C$15+P32*'Daftar Produk &amp; Harga'!$C$16+Q32*'Daftar Produk &amp; Harga'!$C$17+R32*'Daftar Produk &amp; Harga'!$C$18+S32*'Daftar Produk &amp; Harga'!$C$19+T32*'Daftar Produk &amp; Harga'!$C$20+U32*'Daftar Produk &amp; Harga'!$C$21+V32*'Daftar Produk &amp; Harga'!$C$22+W32*'Daftar Produk &amp; Harga'!$C$23+X32*'Daftar Produk &amp; Harga'!$C$24+Y32*'Daftar Produk &amp; Harga'!$C$25+Z32*'Daftar Produk &amp; Harga'!$C$26+AA32*'Daftar Produk &amp; Harga'!$C$27+AB32*'Daftar Produk &amp; Harga'!$C$28+AC32*'Daftar Produk &amp; Harga'!$C$29+AD32*'Daftar Produk &amp; Harga'!$C$30+AE32*'Daftar Produk &amp; Harga'!$C$31+AF32*'Daftar Produk &amp; Harga'!$C$32+AG32*'Daftar Produk &amp; Harga'!$C$33+AH32*'Daftar Produk &amp; Harga'!$C$34</x:f>
        <x:v>27890000</x:v>
      </x:c>
    </x:row>
    <x:row r="33" ht="18" customHeight="1">
      <x:c r="A33" s="178" t="n">
        <x:v>30</x:v>
      </x:c>
      <x:c r="B33" s="179" t="n">
        <x:v>46142</x:v>
      </x:c>
      <x:c r="C33" s="178" t="str">
        <x:v>Kamis</x:v>
      </x:c>
      <x:c r="D33" s="184" t="n">
        <x:v>50</x:v>
      </x:c>
      <x:c r="E33" s="184" t="n">
        <x:v>0</x:v>
      </x:c>
      <x:c r="F33" s="184" t="n">
        <x:v>0</x:v>
      </x:c>
      <x:c r="G33" s="184" t="n">
        <x:v>0</x:v>
      </x:c>
      <x:c r="H33" s="184" t="n">
        <x:v>130</x:v>
      </x:c>
      <x:c r="I33" s="184" t="n">
        <x:v>0</x:v>
      </x:c>
      <x:c r="J33" s="184" t="n">
        <x:v>70</x:v>
      </x:c>
      <x:c r="K33" s="184" t="n">
        <x:v>0</x:v>
      </x:c>
      <x:c r="L33" s="184" t="n">
        <x:v>110</x:v>
      </x:c>
      <x:c r="M33" s="184" t="n">
        <x:v>0</x:v>
      </x:c>
      <x:c r="N33" s="186" t="n">
        <x:v>30</x:v>
      </x:c>
      <x:c r="O33" s="186" t="n">
        <x:v>40</x:v>
      </x:c>
      <x:c r="P33" s="186" t="n">
        <x:v>30</x:v>
      </x:c>
      <x:c r="Q33" s="186" t="n">
        <x:v>30</x:v>
      </x:c>
      <x:c r="R33" s="186" t="n">
        <x:v>30</x:v>
      </x:c>
      <x:c r="S33" s="186" t="n">
        <x:v>40</x:v>
      </x:c>
      <x:c r="T33" s="186" t="n">
        <x:v>30</x:v>
      </x:c>
      <x:c r="U33" s="186" t="n">
        <x:v>35</x:v>
      </x:c>
      <x:c r="V33" s="186" t="n">
        <x:v>40</x:v>
      </x:c>
      <x:c r="W33" s="186" t="n">
        <x:v>30</x:v>
      </x:c>
      <x:c r="X33" s="186" t="n">
        <x:v>40</x:v>
      </x:c>
      <x:c r="Y33" s="186" t="n">
        <x:v>35</x:v>
      </x:c>
      <x:c r="Z33" s="186" t="n">
        <x:v>30</x:v>
      </x:c>
      <x:c r="AA33" s="186" t="n">
        <x:v>30</x:v>
      </x:c>
      <x:c r="AB33" s="186" t="n">
        <x:v>35</x:v>
      </x:c>
      <x:c r="AC33" s="186" t="n">
        <x:v>30</x:v>
      </x:c>
      <x:c r="AD33" s="186" t="n">
        <x:v>35</x:v>
      </x:c>
      <x:c r="AE33" s="186" t="n">
        <x:v>40</x:v>
      </x:c>
      <x:c r="AF33" s="186" t="n">
        <x:v>30</x:v>
      </x:c>
      <x:c r="AG33" s="186" t="n">
        <x:v>40</x:v>
      </x:c>
      <x:c r="AH33" s="186" t="n">
        <x:v>30</x:v>
      </x:c>
      <x:c r="AI33" s="188" t="n">
        <x:f>SUM(D33:AH33)</x:f>
        <x:v>1070</x:v>
      </x:c>
      <x:c r="AJ33" s="196" t="n">
        <x:f>D33*'Daftar Produk &amp; Harga'!$C$4+E33*'Daftar Produk &amp; Harga'!$C$5+F33*'Daftar Produk &amp; Harga'!$C$6+G33*'Daftar Produk &amp; Harga'!$C$7+H33*'Daftar Produk &amp; Harga'!$C$8+I33*'Daftar Produk &amp; Harga'!$C$9+J33*'Daftar Produk &amp; Harga'!$C$10+K33*'Daftar Produk &amp; Harga'!$C$11+L33*'Daftar Produk &amp; Harga'!$C$12+M33*'Daftar Produk &amp; Harga'!$C$13+N33*'Daftar Produk &amp; Harga'!$C$14+O33*'Daftar Produk &amp; Harga'!$C$15+P33*'Daftar Produk &amp; Harga'!$C$16+Q33*'Daftar Produk &amp; Harga'!$C$17+R33*'Daftar Produk &amp; Harga'!$C$18+S33*'Daftar Produk &amp; Harga'!$C$19+T33*'Daftar Produk &amp; Harga'!$C$20+U33*'Daftar Produk &amp; Harga'!$C$21+V33*'Daftar Produk &amp; Harga'!$C$22+W33*'Daftar Produk &amp; Harga'!$C$23+X33*'Daftar Produk &amp; Harga'!$C$24+Y33*'Daftar Produk &amp; Harga'!$C$25+Z33*'Daftar Produk &amp; Harga'!$C$26+AA33*'Daftar Produk &amp; Harga'!$C$27+AB33*'Daftar Produk &amp; Harga'!$C$28+AC33*'Daftar Produk &amp; Harga'!$C$29+AD33*'Daftar Produk &amp; Harga'!$C$30+AE33*'Daftar Produk &amp; Harga'!$C$31+AF33*'Daftar Produk &amp; Harga'!$C$32+AG33*'Daftar Produk &amp; Harga'!$C$33+AH33*'Daftar Produk &amp; Harga'!$C$34</x:f>
        <x:v>35735000</x:v>
      </x:c>
    </x:row>
    <x:row r="34">
      <x:c r="A34" s="61" t="str">
        <x:v>TOTAL APRIL 2026</x:v>
      </x:c>
      <x:c r="B34" s="61"/>
      <x:c r="C34" s="61"/>
      <x:c r="D34" s="62" t="n">
        <x:f>SUM(D4:D33)</x:f>
        <x:v>450</x:v>
      </x:c>
      <x:c r="E34" s="62" t="n">
        <x:f>SUM(E4:E33)</x:f>
        <x:v>350</x:v>
      </x:c>
      <x:c r="F34" s="62" t="n">
        <x:f>SUM(F4:F33)</x:f>
        <x:v>330</x:v>
      </x:c>
      <x:c r="G34" s="62" t="n">
        <x:f>SUM(G4:G33)</x:f>
        <x:v>210</x:v>
      </x:c>
      <x:c r="H34" s="62" t="n">
        <x:f>SUM(H4:H33)</x:f>
        <x:v>450</x:v>
      </x:c>
      <x:c r="I34" s="62" t="n">
        <x:f>SUM(I4:I33)</x:f>
        <x:v>330</x:v>
      </x:c>
      <x:c r="J34" s="62" t="n">
        <x:f>SUM(J4:J33)</x:f>
        <x:v>450</x:v>
      </x:c>
      <x:c r="K34" s="62" t="n">
        <x:f>SUM(K4:K33)</x:f>
        <x:v>400</x:v>
      </x:c>
      <x:c r="L34" s="62" t="n">
        <x:f>SUM(L4:L33)</x:f>
        <x:v>360</x:v>
      </x:c>
      <x:c r="M34" s="62" t="n">
        <x:f>SUM(M4:M33)</x:f>
        <x:v>400</x:v>
      </x:c>
      <x:c r="N34" s="62" t="n">
        <x:f>SUM(N4:N33)</x:f>
        <x:v>1105</x:v>
      </x:c>
      <x:c r="O34" s="62" t="n">
        <x:f>SUM(O4:O33)</x:f>
        <x:v>1125</x:v>
      </x:c>
      <x:c r="P34" s="62" t="n">
        <x:f>SUM(P4:P33)</x:f>
        <x:v>1140</x:v>
      </x:c>
      <x:c r="Q34" s="62" t="n">
        <x:f>SUM(Q4:Q33)</x:f>
        <x:v>1110</x:v>
      </x:c>
      <x:c r="R34" s="62" t="n">
        <x:f>SUM(R4:R33)</x:f>
        <x:v>1120</x:v>
      </x:c>
      <x:c r="S34" s="62" t="n">
        <x:f>SUM(S4:S33)</x:f>
        <x:v>1135</x:v>
      </x:c>
      <x:c r="T34" s="62" t="n">
        <x:f>SUM(T4:T33)</x:f>
        <x:v>1100</x:v>
      </x:c>
      <x:c r="U34" s="62" t="n">
        <x:f>SUM(U4:U33)</x:f>
        <x:v>1115</x:v>
      </x:c>
      <x:c r="V34" s="62" t="n">
        <x:f>SUM(V4:V33)</x:f>
        <x:v>1105</x:v>
      </x:c>
      <x:c r="W34" s="62" t="n">
        <x:f>SUM(W4:W33)</x:f>
        <x:v>1095</x:v>
      </x:c>
      <x:c r="X34" s="62" t="n">
        <x:f>SUM(X4:X33)</x:f>
        <x:v>1095</x:v>
      </x:c>
      <x:c r="Y34" s="62" t="n">
        <x:f>SUM(Y4:Y33)</x:f>
        <x:v>1105</x:v>
      </x:c>
      <x:c r="Z34" s="62" t="n">
        <x:f>SUM(Z4:Z33)</x:f>
        <x:v>1075</x:v>
      </x:c>
      <x:c r="AA34" s="62" t="n">
        <x:f>SUM(AA4:AA33)</x:f>
        <x:v>1125</x:v>
      </x:c>
      <x:c r="AB34" s="62" t="n">
        <x:f>SUM(AB4:AB33)</x:f>
        <x:v>1135</x:v>
      </x:c>
      <x:c r="AC34" s="62" t="n">
        <x:f>SUM(AC4:AC33)</x:f>
        <x:v>1115</x:v>
      </x:c>
      <x:c r="AD34" s="62" t="n">
        <x:f>SUM(AD4:AD33)</x:f>
        <x:v>1105</x:v>
      </x:c>
      <x:c r="AE34" s="62" t="n">
        <x:f>SUM(AE4:AE33)</x:f>
        <x:v>1115</x:v>
      </x:c>
      <x:c r="AF34" s="62" t="n">
        <x:f>SUM(AF4:AF33)</x:f>
        <x:v>1115</x:v>
      </x:c>
      <x:c r="AG34" s="62" t="n">
        <x:f>SUM(AG4:AG33)</x:f>
        <x:v>1165</x:v>
      </x:c>
      <x:c r="AH34" s="62" t="n">
        <x:f>SUM(AH4:AH33)</x:f>
        <x:v>1160</x:v>
      </x:c>
      <x:c r="AI34" s="62" t="n">
        <x:f>SUM(AI4:AI33)</x:f>
        <x:v>27190</x:v>
      </x:c>
      <x:c r="AJ34" s="62" t="n">
        <x:f>SUM(AJ4:AJ33)</x:f>
        <x:v>889300000</x:v>
      </x:c>
    </x:row>
  </x:sheetData>
  <x:mergeCells>
    <x:mergeCell ref="A1:AJ1"/>
    <x:mergeCell ref="A2:AJ2"/>
  </x:mergeCells>
  <x:pageMargins left="0.7" right="0.7" top="0.75" bottom="0.75" header="0.3" footer="0.3"/>
</x:worksheet>
</file>

<file path=xl/worksheets/sheet8.xml><?xml version="1.0" encoding="utf-8"?>
<x:worksheet xmlns:x="http://schemas.openxmlformats.org/spreadsheetml/2006/main">
  <x:sheetFormatPr defaultRowHeight="15"/>
  <x:cols>
    <x:col min="1" max="1" width="6" hidden="0" customWidth="1"/>
    <x:col min="2" max="2" width="13" hidden="0" customWidth="1"/>
    <x:col min="3" max="3" width="11" hidden="0" customWidth="1"/>
    <x:col min="4" max="4" width="15" hidden="0" customWidth="1"/>
    <x:col min="5" max="5" width="15" hidden="0" customWidth="1"/>
    <x:col min="6" max="6" width="15" hidden="0" customWidth="1"/>
    <x:col min="7" max="7" width="15" hidden="0" customWidth="1"/>
    <x:col min="8" max="8" width="15" hidden="0" customWidth="1"/>
    <x:col min="9" max="9" width="15" hidden="0" customWidth="1"/>
    <x:col min="10" max="10" width="15" hidden="0" customWidth="1"/>
    <x:col min="11" max="11" width="15" hidden="0" customWidth="1"/>
    <x:col min="12" max="12" width="15" hidden="0" customWidth="1"/>
    <x:col min="13" max="13" width="15" hidden="0" customWidth="1"/>
    <x:col min="14" max="14" width="15" hidden="0" customWidth="1"/>
    <x:col min="15" max="15" width="15" hidden="0" customWidth="1"/>
    <x:col min="16" max="16" width="15" hidden="0" customWidth="1"/>
    <x:col min="17" max="17" width="15" hidden="0" customWidth="1"/>
    <x:col min="18" max="18" width="15" hidden="0" customWidth="1"/>
    <x:col min="19" max="19" width="15" hidden="0" customWidth="1"/>
    <x:col min="20" max="20" width="15" hidden="0" customWidth="1"/>
    <x:col min="21" max="21" width="15" hidden="0" customWidth="1"/>
    <x:col min="22" max="22" width="15" hidden="0" customWidth="1"/>
    <x:col min="23" max="23" width="15" hidden="0" customWidth="1"/>
    <x:col min="24" max="24" width="15" hidden="0" customWidth="1"/>
    <x:col min="25" max="25" width="15" hidden="0" customWidth="1"/>
    <x:col min="26" max="26" width="15" hidden="0" customWidth="1"/>
    <x:col min="27" max="27" width="15" hidden="0" customWidth="1"/>
    <x:col min="28" max="28" width="15" hidden="0" customWidth="1"/>
    <x:col min="29" max="29" width="15" hidden="0" customWidth="1"/>
    <x:col min="30" max="30" width="15" hidden="0" customWidth="1"/>
    <x:col min="31" max="31" width="15" hidden="0" customWidth="1"/>
    <x:col min="32" max="32" width="15" hidden="0" customWidth="1"/>
    <x:col min="33" max="33" width="15" hidden="0" customWidth="1"/>
    <x:col min="34" max="34" width="15" hidden="0" customWidth="1"/>
    <x:col min="35" max="35" width="13" hidden="0" customWidth="1"/>
    <x:col min="36" max="36" width="20" hidden="0" customWidth="1"/>
  </x:cols>
  <x:sheetData>
    <x:row r="1" ht="28" customHeight="1">
      <x:c r="A1" s="102" t="str">
        <x:v>DELLA FROZEN MART – DATA PENJUALAN HARIAN 31 PRODUK | MEI 2026</x:v>
      </x:c>
      <x:c r="B1" s="102"/>
      <x:c r="C1" s="102"/>
      <x:c r="D1" s="102"/>
      <x:c r="E1" s="102"/>
      <x:c r="F1" s="102"/>
      <x:c r="G1" s="102"/>
      <x:c r="H1" s="102"/>
      <x:c r="I1" s="102"/>
      <x:c r="J1" s="102"/>
      <x:c r="K1" s="102"/>
      <x:c r="L1" s="102"/>
      <x:c r="M1" s="102"/>
      <x:c r="N1" s="102"/>
      <x:c r="O1" s="102"/>
      <x:c r="P1" s="102"/>
      <x:c r="Q1" s="102"/>
      <x:c r="R1" s="102"/>
      <x:c r="S1" s="102"/>
      <x:c r="T1" s="102"/>
      <x:c r="U1" s="102"/>
      <x:c r="V1" s="102"/>
      <x:c r="W1" s="102"/>
      <x:c r="X1" s="102"/>
      <x:c r="Y1" s="102"/>
      <x:c r="Z1" s="102"/>
      <x:c r="AA1" s="102"/>
      <x:c r="AB1" s="102"/>
      <x:c r="AC1" s="102"/>
      <x:c r="AD1" s="102"/>
      <x:c r="AE1" s="102"/>
      <x:c r="AF1" s="102"/>
      <x:c r="AG1" s="102"/>
      <x:c r="AH1" s="102"/>
      <x:c r="AI1" s="102"/>
      <x:c r="AJ1" s="102"/>
    </x:row>
    <x:row r="2" ht="22" customHeight="1">
      <x:c r="A2" s="145" t="str">
        <x:v>Gabungan 10 produk data dasar dan 21 produk simulasi tambahan. Lihat sheet 'Metodologi &amp; Disclaimer'.</x:v>
      </x:c>
      <x:c r="B2" s="145"/>
      <x:c r="C2" s="145"/>
      <x:c r="D2" s="145"/>
      <x:c r="E2" s="145"/>
      <x:c r="F2" s="145"/>
      <x:c r="G2" s="145"/>
      <x:c r="H2" s="145"/>
      <x:c r="I2" s="145"/>
      <x:c r="J2" s="145"/>
      <x:c r="K2" s="145"/>
      <x:c r="L2" s="145"/>
      <x:c r="M2" s="145"/>
      <x:c r="N2" s="145"/>
      <x:c r="O2" s="145"/>
      <x:c r="P2" s="145"/>
      <x:c r="Q2" s="145"/>
      <x:c r="R2" s="145"/>
      <x:c r="S2" s="145"/>
      <x:c r="T2" s="145"/>
      <x:c r="U2" s="145"/>
      <x:c r="V2" s="145"/>
      <x:c r="W2" s="145"/>
      <x:c r="X2" s="145"/>
      <x:c r="Y2" s="145"/>
      <x:c r="Z2" s="145"/>
      <x:c r="AA2" s="145"/>
      <x:c r="AB2" s="145"/>
      <x:c r="AC2" s="145"/>
      <x:c r="AD2" s="145"/>
      <x:c r="AE2" s="145"/>
      <x:c r="AF2" s="145"/>
      <x:c r="AG2" s="145"/>
      <x:c r="AH2" s="145"/>
      <x:c r="AI2" s="145"/>
      <x:c r="AJ2" s="145"/>
    </x:row>
    <x:row r="3" ht="58" customHeight="1">
      <x:c r="A3" s="53" t="str">
        <x:v>No</x:v>
      </x:c>
      <x:c r="B3" s="53" t="str">
        <x:v>Tanggal</x:v>
      </x:c>
      <x:c r="C3" s="53" t="str">
        <x:v>Hari</x:v>
      </x:c>
      <x:c r="D3" s="156" t="str">
        <x:v>Okey Sosis 500GR</x:v>
      </x:c>
      <x:c r="E3" s="156" t="str">
        <x:v>Fiesta Chicken Nugget 450GR</x:v>
      </x:c>
      <x:c r="F3" s="156" t="str">
        <x:v>Jamur Enoki</x:v>
      </x:c>
      <x:c r="G3" s="156" t="str">
        <x:v>Meru Lapis Bogor</x:v>
      </x:c>
      <x:c r="H3" s="156" t="str">
        <x:v>Okey Nugget Stik 500GR</x:v>
      </x:c>
      <x:c r="I3" s="156" t="str">
        <x:v>Cireng Rujak</x:v>
      </x:c>
      <x:c r="J3" s="156" t="str">
        <x:v>Salam Nugget 500GR</x:v>
      </x:c>
      <x:c r="K3" s="156" t="str">
        <x:v>Warisan Isi 50</x:v>
      </x:c>
      <x:c r="L3" s="156" t="str">
        <x:v>Belfood Sosis Isi 30</x:v>
      </x:c>
      <x:c r="M3" s="156" t="str">
        <x:v>Richeese Nugget</x:v>
      </x:c>
      <x:c r="N3" s="166" t="str">
        <x:v>Nugget Ayam Original 500g</x:v>
      </x:c>
      <x:c r="O3" s="166" t="str">
        <x:v>Nugget Ayam Crispy 400g</x:v>
      </x:c>
      <x:c r="P3" s="166" t="str">
        <x:v>Champ Nugget Kombinasi 450GR</x:v>
      </x:c>
      <x:c r="Q3" s="166" t="str">
        <x:v>Chicken Nugget Stick 250g</x:v>
      </x:c>
      <x:c r="R3" s="166" t="str">
        <x:v>Chicken Nugget Stick 500g</x:v>
      </x:c>
      <x:c r="S3" s="166" t="str">
        <x:v>Bakso Soni</x:v>
      </x:c>
      <x:c r="T3" s="166" t="str">
        <x:v>Spicy Chicken Wings 500g</x:v>
      </x:c>
      <x:c r="U3" s="166" t="str">
        <x:v>Sosis Ayam Besar 360g</x:v>
      </x:c>
      <x:c r="V3" s="166" t="str">
        <x:v>Sosis Sapi Jumbo 500g</x:v>
      </x:c>
      <x:c r="W3" s="166" t="str">
        <x:v>Sosis Kanzler Beef 500g</x:v>
      </x:c>
      <x:c r="X3" s="166" t="str">
        <x:v>Sosis Kanzler Cheese 300g</x:v>
      </x:c>
      <x:c r="Y3" s="166" t="str">
        <x:v>Sosis Kanzler Cheese 500g</x:v>
      </x:c>
      <x:c r="Z3" s="166" t="str">
        <x:v>Bakso Sapi Jumbo 500g</x:v>
      </x:c>
      <x:c r="AA3" s="166" t="str">
        <x:v>Warisan Isi 25</x:v>
      </x:c>
      <x:c r="AB3" s="166" t="str">
        <x:v>Onion Ring Frozen 250g</x:v>
      </x:c>
      <x:c r="AC3" s="166" t="str">
        <x:v>Onion Ring Frozen 500g</x:v>
      </x:c>
      <x:c r="AD3" s="166" t="str">
        <x:v>Champ Sosis Sapi 375 gr</x:v>
      </x:c>
      <x:c r="AE3" s="166" t="str">
        <x:v>Sallam Nugget 250 gr</x:v>
      </x:c>
      <x:c r="AF3" s="166" t="str">
        <x:v>Sallam Bakso Sapi 500 gr</x:v>
      </x:c>
      <x:c r="AG3" s="166" t="str">
        <x:v>Fiesta Kentang 500 gr</x:v>
      </x:c>
      <x:c r="AH3" s="166" t="str">
        <x:v>Belfood Chicken Nugget 500gr</x:v>
      </x:c>
      <x:c r="AI3" s="28" t="str">
        <x:v>Total Qty</x:v>
      </x:c>
      <x:c r="AJ3" s="28" t="str">
        <x:v>Total Penjualan (Rp)</x:v>
      </x:c>
    </x:row>
    <x:row r="4" ht="18" customHeight="1">
      <x:c r="A4" s="178" t="n">
        <x:v>1</x:v>
      </x:c>
      <x:c r="B4" s="179" t="n">
        <x:v>46143</x:v>
      </x:c>
      <x:c r="C4" s="178" t="str">
        <x:v>Jumat</x:v>
      </x:c>
      <x:c r="D4" s="184" t="n">
        <x:v>0</x:v>
      </x:c>
      <x:c r="E4" s="184" t="n">
        <x:v>0</x:v>
      </x:c>
      <x:c r="F4" s="184" t="n">
        <x:v>0</x:v>
      </x:c>
      <x:c r="G4" s="184" t="n">
        <x:v>0</x:v>
      </x:c>
      <x:c r="H4" s="184" t="n">
        <x:v>0</x:v>
      </x:c>
      <x:c r="I4" s="184" t="n">
        <x:v>0</x:v>
      </x:c>
      <x:c r="J4" s="184" t="n">
        <x:v>40</x:v>
      </x:c>
      <x:c r="K4" s="184" t="n">
        <x:v>0</x:v>
      </x:c>
      <x:c r="L4" s="184" t="n">
        <x:v>0</x:v>
      </x:c>
      <x:c r="M4" s="184" t="n">
        <x:v>0</x:v>
      </x:c>
      <x:c r="N4" s="186" t="n">
        <x:v>35</x:v>
      </x:c>
      <x:c r="O4" s="186" t="n">
        <x:v>40</x:v>
      </x:c>
      <x:c r="P4" s="186" t="n">
        <x:v>30</x:v>
      </x:c>
      <x:c r="Q4" s="186" t="n">
        <x:v>35</x:v>
      </x:c>
      <x:c r="R4" s="186" t="n">
        <x:v>35</x:v>
      </x:c>
      <x:c r="S4" s="186" t="n">
        <x:v>30</x:v>
      </x:c>
      <x:c r="T4" s="186" t="n">
        <x:v>35</x:v>
      </x:c>
      <x:c r="U4" s="186" t="n">
        <x:v>40</x:v>
      </x:c>
      <x:c r="V4" s="186" t="n">
        <x:v>30</x:v>
      </x:c>
      <x:c r="W4" s="186" t="n">
        <x:v>40</x:v>
      </x:c>
      <x:c r="X4" s="186" t="n">
        <x:v>35</x:v>
      </x:c>
      <x:c r="Y4" s="186" t="n">
        <x:v>35</x:v>
      </x:c>
      <x:c r="Z4" s="186" t="n">
        <x:v>40</x:v>
      </x:c>
      <x:c r="AA4" s="186" t="n">
        <x:v>35</x:v>
      </x:c>
      <x:c r="AB4" s="186" t="n">
        <x:v>35</x:v>
      </x:c>
      <x:c r="AC4" s="186" t="n">
        <x:v>35</x:v>
      </x:c>
      <x:c r="AD4" s="186" t="n">
        <x:v>30</x:v>
      </x:c>
      <x:c r="AE4" s="186" t="n">
        <x:v>30</x:v>
      </x:c>
      <x:c r="AF4" s="186" t="n">
        <x:v>30</x:v>
      </x:c>
      <x:c r="AG4" s="186" t="n">
        <x:v>40</x:v>
      </x:c>
      <x:c r="AH4" s="186" t="n">
        <x:v>30</x:v>
      </x:c>
      <x:c r="AI4" s="188" t="n">
        <x:f>SUM(D4:AH4)</x:f>
        <x:v>765</x:v>
      </x:c>
      <x:c r="AJ4" s="196" t="n">
        <x:f>D4*'Daftar Produk &amp; Harga'!$C$4+E4*'Daftar Produk &amp; Harga'!$C$5+F4*'Daftar Produk &amp; Harga'!$C$6+G4*'Daftar Produk &amp; Harga'!$C$7+H4*'Daftar Produk &amp; Harga'!$C$8+I4*'Daftar Produk &amp; Harga'!$C$9+J4*'Daftar Produk &amp; Harga'!$C$10+K4*'Daftar Produk &amp; Harga'!$C$11+L4*'Daftar Produk &amp; Harga'!$C$12+M4*'Daftar Produk &amp; Harga'!$C$13+N4*'Daftar Produk &amp; Harga'!$C$14+O4*'Daftar Produk &amp; Harga'!$C$15+P4*'Daftar Produk &amp; Harga'!$C$16+Q4*'Daftar Produk &amp; Harga'!$C$17+R4*'Daftar Produk &amp; Harga'!$C$18+S4*'Daftar Produk &amp; Harga'!$C$19+T4*'Daftar Produk &amp; Harga'!$C$20+U4*'Daftar Produk &amp; Harga'!$C$21+V4*'Daftar Produk &amp; Harga'!$C$22+W4*'Daftar Produk &amp; Harga'!$C$23+X4*'Daftar Produk &amp; Harga'!$C$24+Y4*'Daftar Produk &amp; Harga'!$C$25+Z4*'Daftar Produk &amp; Harga'!$C$26+AA4*'Daftar Produk &amp; Harga'!$C$27+AB4*'Daftar Produk &amp; Harga'!$C$28+AC4*'Daftar Produk &amp; Harga'!$C$29+AD4*'Daftar Produk &amp; Harga'!$C$30+AE4*'Daftar Produk &amp; Harga'!$C$31+AF4*'Daftar Produk &amp; Harga'!$C$32+AG4*'Daftar Produk &amp; Harga'!$C$33+AH4*'Daftar Produk &amp; Harga'!$C$34</x:f>
        <x:v>24905000</x:v>
      </x:c>
    </x:row>
    <x:row r="5" ht="18" customHeight="1">
      <x:c r="A5" s="178" t="n">
        <x:v>2</x:v>
      </x:c>
      <x:c r="B5" s="179" t="n">
        <x:v>46144</x:v>
      </x:c>
      <x:c r="C5" s="178" t="str">
        <x:v>Sabtu</x:v>
      </x:c>
      <x:c r="D5" s="184" t="n">
        <x:v>40</x:v>
      </x:c>
      <x:c r="E5" s="184" t="n">
        <x:v>0</x:v>
      </x:c>
      <x:c r="F5" s="184" t="n">
        <x:v>0</x:v>
      </x:c>
      <x:c r="G5" s="184" t="n">
        <x:v>0</x:v>
      </x:c>
      <x:c r="H5" s="184" t="n">
        <x:v>0</x:v>
      </x:c>
      <x:c r="I5" s="184" t="n">
        <x:v>0</x:v>
      </x:c>
      <x:c r="J5" s="184" t="n">
        <x:v>50</x:v>
      </x:c>
      <x:c r="K5" s="184" t="n">
        <x:v>40</x:v>
      </x:c>
      <x:c r="L5" s="184" t="n">
        <x:v>0</x:v>
      </x:c>
      <x:c r="M5" s="184" t="n">
        <x:v>0</x:v>
      </x:c>
      <x:c r="N5" s="186" t="n">
        <x:v>50</x:v>
      </x:c>
      <x:c r="O5" s="186" t="n">
        <x:v>40</x:v>
      </x:c>
      <x:c r="P5" s="186" t="n">
        <x:v>40</x:v>
      </x:c>
      <x:c r="Q5" s="186" t="n">
        <x:v>45</x:v>
      </x:c>
      <x:c r="R5" s="186" t="n">
        <x:v>40</x:v>
      </x:c>
      <x:c r="S5" s="186" t="n">
        <x:v>35</x:v>
      </x:c>
      <x:c r="T5" s="186" t="n">
        <x:v>45</x:v>
      </x:c>
      <x:c r="U5" s="186" t="n">
        <x:v>45</x:v>
      </x:c>
      <x:c r="V5" s="186" t="n">
        <x:v>45</x:v>
      </x:c>
      <x:c r="W5" s="186" t="n">
        <x:v>45</x:v>
      </x:c>
      <x:c r="X5" s="186" t="n">
        <x:v>45</x:v>
      </x:c>
      <x:c r="Y5" s="186" t="n">
        <x:v>40</x:v>
      </x:c>
      <x:c r="Z5" s="186" t="n">
        <x:v>40</x:v>
      </x:c>
      <x:c r="AA5" s="186" t="n">
        <x:v>35</x:v>
      </x:c>
      <x:c r="AB5" s="186" t="n">
        <x:v>40</x:v>
      </x:c>
      <x:c r="AC5" s="186" t="n">
        <x:v>45</x:v>
      </x:c>
      <x:c r="AD5" s="186" t="n">
        <x:v>50</x:v>
      </x:c>
      <x:c r="AE5" s="186" t="n">
        <x:v>40</x:v>
      </x:c>
      <x:c r="AF5" s="186" t="n">
        <x:v>40</x:v>
      </x:c>
      <x:c r="AG5" s="186" t="n">
        <x:v>45</x:v>
      </x:c>
      <x:c r="AH5" s="186" t="n">
        <x:v>50</x:v>
      </x:c>
      <x:c r="AI5" s="188" t="n">
        <x:f>SUM(D5:AH5)</x:f>
        <x:v>1030</x:v>
      </x:c>
      <x:c r="AJ5" s="196" t="n">
        <x:f>D5*'Daftar Produk &amp; Harga'!$C$4+E5*'Daftar Produk &amp; Harga'!$C$5+F5*'Daftar Produk &amp; Harga'!$C$6+G5*'Daftar Produk &amp; Harga'!$C$7+H5*'Daftar Produk &amp; Harga'!$C$8+I5*'Daftar Produk &amp; Harga'!$C$9+J5*'Daftar Produk &amp; Harga'!$C$10+K5*'Daftar Produk &amp; Harga'!$C$11+L5*'Daftar Produk &amp; Harga'!$C$12+M5*'Daftar Produk &amp; Harga'!$C$13+N5*'Daftar Produk &amp; Harga'!$C$14+O5*'Daftar Produk &amp; Harga'!$C$15+P5*'Daftar Produk &amp; Harga'!$C$16+Q5*'Daftar Produk &amp; Harga'!$C$17+R5*'Daftar Produk &amp; Harga'!$C$18+S5*'Daftar Produk &amp; Harga'!$C$19+T5*'Daftar Produk &amp; Harga'!$C$20+U5*'Daftar Produk &amp; Harga'!$C$21+V5*'Daftar Produk &amp; Harga'!$C$22+W5*'Daftar Produk &amp; Harga'!$C$23+X5*'Daftar Produk &amp; Harga'!$C$24+Y5*'Daftar Produk &amp; Harga'!$C$25+Z5*'Daftar Produk &amp; Harga'!$C$26+AA5*'Daftar Produk &amp; Harga'!$C$27+AB5*'Daftar Produk &amp; Harga'!$C$28+AC5*'Daftar Produk &amp; Harga'!$C$29+AD5*'Daftar Produk &amp; Harga'!$C$30+AE5*'Daftar Produk &amp; Harga'!$C$31+AF5*'Daftar Produk &amp; Harga'!$C$32+AG5*'Daftar Produk &amp; Harga'!$C$33+AH5*'Daftar Produk &amp; Harga'!$C$34</x:f>
        <x:v>34430000</x:v>
      </x:c>
    </x:row>
    <x:row r="6" ht="18" customHeight="1">
      <x:c r="A6" s="178" t="n">
        <x:v>3</x:v>
      </x:c>
      <x:c r="B6" s="179" t="n">
        <x:v>46145</x:v>
      </x:c>
      <x:c r="C6" s="178" t="str">
        <x:v>Minggu</x:v>
      </x:c>
      <x:c r="D6" s="184" t="n">
        <x:v>40</x:v>
      </x:c>
      <x:c r="E6" s="184" t="n">
        <x:v>0</x:v>
      </x:c>
      <x:c r="F6" s="184" t="n">
        <x:v>40</x:v>
      </x:c>
      <x:c r="G6" s="184" t="n">
        <x:v>0</x:v>
      </x:c>
      <x:c r="H6" s="184" t="n">
        <x:v>0</x:v>
      </x:c>
      <x:c r="I6" s="184" t="n">
        <x:v>40</x:v>
      </x:c>
      <x:c r="J6" s="184" t="n">
        <x:v>50</x:v>
      </x:c>
      <x:c r="K6" s="184" t="n">
        <x:v>40</x:v>
      </x:c>
      <x:c r="L6" s="184" t="n">
        <x:v>50</x:v>
      </x:c>
      <x:c r="M6" s="184" t="n">
        <x:v>0</x:v>
      </x:c>
      <x:c r="N6" s="186" t="n">
        <x:v>45</x:v>
      </x:c>
      <x:c r="O6" s="186" t="n">
        <x:v>40</x:v>
      </x:c>
      <x:c r="P6" s="186" t="n">
        <x:v>40</x:v>
      </x:c>
      <x:c r="Q6" s="186" t="n">
        <x:v>40</x:v>
      </x:c>
      <x:c r="R6" s="186" t="n">
        <x:v>45</x:v>
      </x:c>
      <x:c r="S6" s="186" t="n">
        <x:v>50</x:v>
      </x:c>
      <x:c r="T6" s="186" t="n">
        <x:v>40</x:v>
      </x:c>
      <x:c r="U6" s="186" t="n">
        <x:v>40</x:v>
      </x:c>
      <x:c r="V6" s="186" t="n">
        <x:v>40</x:v>
      </x:c>
      <x:c r="W6" s="186" t="n">
        <x:v>45</x:v>
      </x:c>
      <x:c r="X6" s="186" t="n">
        <x:v>40</x:v>
      </x:c>
      <x:c r="Y6" s="186" t="n">
        <x:v>35</x:v>
      </x:c>
      <x:c r="Z6" s="186" t="n">
        <x:v>45</x:v>
      </x:c>
      <x:c r="AA6" s="186" t="n">
        <x:v>50</x:v>
      </x:c>
      <x:c r="AB6" s="186" t="n">
        <x:v>45</x:v>
      </x:c>
      <x:c r="AC6" s="186" t="n">
        <x:v>35</x:v>
      </x:c>
      <x:c r="AD6" s="186" t="n">
        <x:v>35</x:v>
      </x:c>
      <x:c r="AE6" s="186" t="n">
        <x:v>50</x:v>
      </x:c>
      <x:c r="AF6" s="186" t="n">
        <x:v>40</x:v>
      </x:c>
      <x:c r="AG6" s="186" t="n">
        <x:v>40</x:v>
      </x:c>
      <x:c r="AH6" s="186" t="n">
        <x:v>40</x:v>
      </x:c>
      <x:c r="AI6" s="188" t="n">
        <x:f>SUM(D6:AH6)</x:f>
        <x:v>1140</x:v>
      </x:c>
      <x:c r="AJ6" s="196" t="n">
        <x:f>D6*'Daftar Produk &amp; Harga'!$C$4+E6*'Daftar Produk &amp; Harga'!$C$5+F6*'Daftar Produk &amp; Harga'!$C$6+G6*'Daftar Produk &amp; Harga'!$C$7+H6*'Daftar Produk &amp; Harga'!$C$8+I6*'Daftar Produk &amp; Harga'!$C$9+J6*'Daftar Produk &amp; Harga'!$C$10+K6*'Daftar Produk &amp; Harga'!$C$11+L6*'Daftar Produk &amp; Harga'!$C$12+M6*'Daftar Produk &amp; Harga'!$C$13+N6*'Daftar Produk &amp; Harga'!$C$14+O6*'Daftar Produk &amp; Harga'!$C$15+P6*'Daftar Produk &amp; Harga'!$C$16+Q6*'Daftar Produk &amp; Harga'!$C$17+R6*'Daftar Produk &amp; Harga'!$C$18+S6*'Daftar Produk &amp; Harga'!$C$19+T6*'Daftar Produk &amp; Harga'!$C$20+U6*'Daftar Produk &amp; Harga'!$C$21+V6*'Daftar Produk &amp; Harga'!$C$22+W6*'Daftar Produk &amp; Harga'!$C$23+X6*'Daftar Produk &amp; Harga'!$C$24+Y6*'Daftar Produk &amp; Harga'!$C$25+Z6*'Daftar Produk &amp; Harga'!$C$26+AA6*'Daftar Produk &amp; Harga'!$C$27+AB6*'Daftar Produk &amp; Harga'!$C$28+AC6*'Daftar Produk &amp; Harga'!$C$29+AD6*'Daftar Produk &amp; Harga'!$C$30+AE6*'Daftar Produk &amp; Harga'!$C$31+AF6*'Daftar Produk &amp; Harga'!$C$32+AG6*'Daftar Produk &amp; Harga'!$C$33+AH6*'Daftar Produk &amp; Harga'!$C$34</x:f>
        <x:v>37080000</x:v>
      </x:c>
    </x:row>
    <x:row r="7" ht="18" customHeight="1">
      <x:c r="A7" s="178" t="n">
        <x:v>4</x:v>
      </x:c>
      <x:c r="B7" s="179" t="n">
        <x:v>46146</x:v>
      </x:c>
      <x:c r="C7" s="178" t="str">
        <x:v>Senin</x:v>
      </x:c>
      <x:c r="D7" s="184" t="n">
        <x:v>40</x:v>
      </x:c>
      <x:c r="E7" s="184" t="n">
        <x:v>50</x:v>
      </x:c>
      <x:c r="F7" s="184" t="n">
        <x:v>50</x:v>
      </x:c>
      <x:c r="G7" s="184" t="n">
        <x:v>0</x:v>
      </x:c>
      <x:c r="H7" s="184" t="n">
        <x:v>0</x:v>
      </x:c>
      <x:c r="I7" s="184" t="n">
        <x:v>40</x:v>
      </x:c>
      <x:c r="J7" s="184" t="n">
        <x:v>50</x:v>
      </x:c>
      <x:c r="K7" s="184" t="n">
        <x:v>40</x:v>
      </x:c>
      <x:c r="L7" s="184" t="n">
        <x:v>50</x:v>
      </x:c>
      <x:c r="M7" s="184" t="n">
        <x:v>0</x:v>
      </x:c>
      <x:c r="N7" s="186" t="n">
        <x:v>35</x:v>
      </x:c>
      <x:c r="O7" s="186" t="n">
        <x:v>40</x:v>
      </x:c>
      <x:c r="P7" s="186" t="n">
        <x:v>40</x:v>
      </x:c>
      <x:c r="Q7" s="186" t="n">
        <x:v>40</x:v>
      </x:c>
      <x:c r="R7" s="186" t="n">
        <x:v>40</x:v>
      </x:c>
      <x:c r="S7" s="186" t="n">
        <x:v>40</x:v>
      </x:c>
      <x:c r="T7" s="186" t="n">
        <x:v>40</x:v>
      </x:c>
      <x:c r="U7" s="186" t="n">
        <x:v>40</x:v>
      </x:c>
      <x:c r="V7" s="186" t="n">
        <x:v>35</x:v>
      </x:c>
      <x:c r="W7" s="186" t="n">
        <x:v>35</x:v>
      </x:c>
      <x:c r="X7" s="186" t="n">
        <x:v>30</x:v>
      </x:c>
      <x:c r="Y7" s="186" t="n">
        <x:v>30</x:v>
      </x:c>
      <x:c r="Z7" s="186" t="n">
        <x:v>30</x:v>
      </x:c>
      <x:c r="AA7" s="186" t="n">
        <x:v>35</x:v>
      </x:c>
      <x:c r="AB7" s="186" t="n">
        <x:v>30</x:v>
      </x:c>
      <x:c r="AC7" s="186" t="n">
        <x:v>35</x:v>
      </x:c>
      <x:c r="AD7" s="186" t="n">
        <x:v>35</x:v>
      </x:c>
      <x:c r="AE7" s="186" t="n">
        <x:v>30</x:v>
      </x:c>
      <x:c r="AF7" s="186" t="n">
        <x:v>40</x:v>
      </x:c>
      <x:c r="AG7" s="186" t="n">
        <x:v>35</x:v>
      </x:c>
      <x:c r="AH7" s="186" t="n">
        <x:v>35</x:v>
      </x:c>
      <x:c r="AI7" s="188" t="n">
        <x:f>SUM(D7:AH7)</x:f>
        <x:v>1070</x:v>
      </x:c>
      <x:c r="AJ7" s="196" t="n">
        <x:f>D7*'Daftar Produk &amp; Harga'!$C$4+E7*'Daftar Produk &amp; Harga'!$C$5+F7*'Daftar Produk &amp; Harga'!$C$6+G7*'Daftar Produk &amp; Harga'!$C$7+H7*'Daftar Produk &amp; Harga'!$C$8+I7*'Daftar Produk &amp; Harga'!$C$9+J7*'Daftar Produk &amp; Harga'!$C$10+K7*'Daftar Produk &amp; Harga'!$C$11+L7*'Daftar Produk &amp; Harga'!$C$12+M7*'Daftar Produk &amp; Harga'!$C$13+N7*'Daftar Produk &amp; Harga'!$C$14+O7*'Daftar Produk &amp; Harga'!$C$15+P7*'Daftar Produk &amp; Harga'!$C$16+Q7*'Daftar Produk &amp; Harga'!$C$17+R7*'Daftar Produk &amp; Harga'!$C$18+S7*'Daftar Produk &amp; Harga'!$C$19+T7*'Daftar Produk &amp; Harga'!$C$20+U7*'Daftar Produk &amp; Harga'!$C$21+V7*'Daftar Produk &amp; Harga'!$C$22+W7*'Daftar Produk &amp; Harga'!$C$23+X7*'Daftar Produk &amp; Harga'!$C$24+Y7*'Daftar Produk &amp; Harga'!$C$25+Z7*'Daftar Produk &amp; Harga'!$C$26+AA7*'Daftar Produk &amp; Harga'!$C$27+AB7*'Daftar Produk &amp; Harga'!$C$28+AC7*'Daftar Produk &amp; Harga'!$C$29+AD7*'Daftar Produk &amp; Harga'!$C$30+AE7*'Daftar Produk &amp; Harga'!$C$31+AF7*'Daftar Produk &amp; Harga'!$C$32+AG7*'Daftar Produk &amp; Harga'!$C$33+AH7*'Daftar Produk &amp; Harga'!$C$34</x:f>
        <x:v>35380000</x:v>
      </x:c>
    </x:row>
    <x:row r="8" ht="18" customHeight="1">
      <x:c r="A8" s="178" t="n">
        <x:v>5</x:v>
      </x:c>
      <x:c r="B8" s="179" t="n">
        <x:v>46147</x:v>
      </x:c>
      <x:c r="C8" s="178" t="str">
        <x:v>Selasa</x:v>
      </x:c>
      <x:c r="D8" s="184" t="n">
        <x:v>40</x:v>
      </x:c>
      <x:c r="E8" s="184" t="n">
        <x:v>50</x:v>
      </x:c>
      <x:c r="F8" s="184" t="n">
        <x:v>50</x:v>
      </x:c>
      <x:c r="G8" s="184" t="n">
        <x:v>0</x:v>
      </x:c>
      <x:c r="H8" s="184" t="n">
        <x:v>40</x:v>
      </x:c>
      <x:c r="I8" s="184" t="n">
        <x:v>50</x:v>
      </x:c>
      <x:c r="J8" s="184" t="n">
        <x:v>0</x:v>
      </x:c>
      <x:c r="K8" s="184" t="n">
        <x:v>40</x:v>
      </x:c>
      <x:c r="L8" s="184" t="n">
        <x:v>50</x:v>
      </x:c>
      <x:c r="M8" s="184" t="n">
        <x:v>0</x:v>
      </x:c>
      <x:c r="N8" s="186" t="n">
        <x:v>35</x:v>
      </x:c>
      <x:c r="O8" s="186" t="n">
        <x:v>40</x:v>
      </x:c>
      <x:c r="P8" s="186" t="n">
        <x:v>30</x:v>
      </x:c>
      <x:c r="Q8" s="186" t="n">
        <x:v>30</x:v>
      </x:c>
      <x:c r="R8" s="186" t="n">
        <x:v>40</x:v>
      </x:c>
      <x:c r="S8" s="186" t="n">
        <x:v>35</x:v>
      </x:c>
      <x:c r="T8" s="186" t="n">
        <x:v>35</x:v>
      </x:c>
      <x:c r="U8" s="186" t="n">
        <x:v>30</x:v>
      </x:c>
      <x:c r="V8" s="186" t="n">
        <x:v>35</x:v>
      </x:c>
      <x:c r="W8" s="186" t="n">
        <x:v>30</x:v>
      </x:c>
      <x:c r="X8" s="186" t="n">
        <x:v>40</x:v>
      </x:c>
      <x:c r="Y8" s="186" t="n">
        <x:v>35</x:v>
      </x:c>
      <x:c r="Z8" s="186" t="n">
        <x:v>40</x:v>
      </x:c>
      <x:c r="AA8" s="186" t="n">
        <x:v>35</x:v>
      </x:c>
      <x:c r="AB8" s="186" t="n">
        <x:v>30</x:v>
      </x:c>
      <x:c r="AC8" s="186" t="n">
        <x:v>35</x:v>
      </x:c>
      <x:c r="AD8" s="186" t="n">
        <x:v>35</x:v>
      </x:c>
      <x:c r="AE8" s="186" t="n">
        <x:v>40</x:v>
      </x:c>
      <x:c r="AF8" s="186" t="n">
        <x:v>40</x:v>
      </x:c>
      <x:c r="AG8" s="186" t="n">
        <x:v>30</x:v>
      </x:c>
      <x:c r="AH8" s="186" t="n">
        <x:v>35</x:v>
      </x:c>
      <x:c r="AI8" s="188" t="n">
        <x:f>SUM(D8:AH8)</x:f>
        <x:v>1055</x:v>
      </x:c>
      <x:c r="AJ8" s="196" t="n">
        <x:f>D8*'Daftar Produk &amp; Harga'!$C$4+E8*'Daftar Produk &amp; Harga'!$C$5+F8*'Daftar Produk &amp; Harga'!$C$6+G8*'Daftar Produk &amp; Harga'!$C$7+H8*'Daftar Produk &amp; Harga'!$C$8+I8*'Daftar Produk &amp; Harga'!$C$9+J8*'Daftar Produk &amp; Harga'!$C$10+K8*'Daftar Produk &amp; Harga'!$C$11+L8*'Daftar Produk &amp; Harga'!$C$12+M8*'Daftar Produk &amp; Harga'!$C$13+N8*'Daftar Produk &amp; Harga'!$C$14+O8*'Daftar Produk &amp; Harga'!$C$15+P8*'Daftar Produk &amp; Harga'!$C$16+Q8*'Daftar Produk &amp; Harga'!$C$17+R8*'Daftar Produk &amp; Harga'!$C$18+S8*'Daftar Produk &amp; Harga'!$C$19+T8*'Daftar Produk &amp; Harga'!$C$20+U8*'Daftar Produk &amp; Harga'!$C$21+V8*'Daftar Produk &amp; Harga'!$C$22+W8*'Daftar Produk &amp; Harga'!$C$23+X8*'Daftar Produk &amp; Harga'!$C$24+Y8*'Daftar Produk &amp; Harga'!$C$25+Z8*'Daftar Produk &amp; Harga'!$C$26+AA8*'Daftar Produk &amp; Harga'!$C$27+AB8*'Daftar Produk &amp; Harga'!$C$28+AC8*'Daftar Produk &amp; Harga'!$C$29+AD8*'Daftar Produk &amp; Harga'!$C$30+AE8*'Daftar Produk &amp; Harga'!$C$31+AF8*'Daftar Produk &amp; Harga'!$C$32+AG8*'Daftar Produk &amp; Harga'!$C$33+AH8*'Daftar Produk &amp; Harga'!$C$34</x:f>
        <x:v>34570000</x:v>
      </x:c>
    </x:row>
    <x:row r="9" ht="18" customHeight="1">
      <x:c r="A9" s="178" t="n">
        <x:v>6</x:v>
      </x:c>
      <x:c r="B9" s="179" t="n">
        <x:v>46148</x:v>
      </x:c>
      <x:c r="C9" s="178" t="str">
        <x:v>Rabu</x:v>
      </x:c>
      <x:c r="D9" s="184" t="n">
        <x:v>0</x:v>
      </x:c>
      <x:c r="E9" s="184" t="n">
        <x:v>50</x:v>
      </x:c>
      <x:c r="F9" s="184" t="n">
        <x:v>0</x:v>
      </x:c>
      <x:c r="G9" s="184" t="n">
        <x:v>40</x:v>
      </x:c>
      <x:c r="H9" s="184" t="n">
        <x:v>50</x:v>
      </x:c>
      <x:c r="I9" s="184" t="n">
        <x:v>50</x:v>
      </x:c>
      <x:c r="J9" s="184" t="n">
        <x:v>0</x:v>
      </x:c>
      <x:c r="K9" s="184" t="n">
        <x:v>0</x:v>
      </x:c>
      <x:c r="L9" s="184" t="n">
        <x:v>50</x:v>
      </x:c>
      <x:c r="M9" s="184" t="n">
        <x:v>0</x:v>
      </x:c>
      <x:c r="N9" s="186" t="n">
        <x:v>30</x:v>
      </x:c>
      <x:c r="O9" s="186" t="n">
        <x:v>30</x:v>
      </x:c>
      <x:c r="P9" s="186" t="n">
        <x:v>40</x:v>
      </x:c>
      <x:c r="Q9" s="186" t="n">
        <x:v>30</x:v>
      </x:c>
      <x:c r="R9" s="186" t="n">
        <x:v>40</x:v>
      </x:c>
      <x:c r="S9" s="186" t="n">
        <x:v>35</x:v>
      </x:c>
      <x:c r="T9" s="186" t="n">
        <x:v>35</x:v>
      </x:c>
      <x:c r="U9" s="186" t="n">
        <x:v>35</x:v>
      </x:c>
      <x:c r="V9" s="186" t="n">
        <x:v>40</x:v>
      </x:c>
      <x:c r="W9" s="186" t="n">
        <x:v>30</x:v>
      </x:c>
      <x:c r="X9" s="186" t="n">
        <x:v>30</x:v>
      </x:c>
      <x:c r="Y9" s="186" t="n">
        <x:v>35</x:v>
      </x:c>
      <x:c r="Z9" s="186" t="n">
        <x:v>40</x:v>
      </x:c>
      <x:c r="AA9" s="186" t="n">
        <x:v>30</x:v>
      </x:c>
      <x:c r="AB9" s="186" t="n">
        <x:v>30</x:v>
      </x:c>
      <x:c r="AC9" s="186" t="n">
        <x:v>30</x:v>
      </x:c>
      <x:c r="AD9" s="186" t="n">
        <x:v>35</x:v>
      </x:c>
      <x:c r="AE9" s="186" t="n">
        <x:v>40</x:v>
      </x:c>
      <x:c r="AF9" s="186" t="n">
        <x:v>40</x:v>
      </x:c>
      <x:c r="AG9" s="186" t="n">
        <x:v>40</x:v>
      </x:c>
      <x:c r="AH9" s="186" t="n">
        <x:v>40</x:v>
      </x:c>
      <x:c r="AI9" s="188" t="n">
        <x:f>SUM(D9:AH9)</x:f>
        <x:v>975</x:v>
      </x:c>
      <x:c r="AJ9" s="196" t="n">
        <x:f>D9*'Daftar Produk &amp; Harga'!$C$4+E9*'Daftar Produk &amp; Harga'!$C$5+F9*'Daftar Produk &amp; Harga'!$C$6+G9*'Daftar Produk &amp; Harga'!$C$7+H9*'Daftar Produk &amp; Harga'!$C$8+I9*'Daftar Produk &amp; Harga'!$C$9+J9*'Daftar Produk &amp; Harga'!$C$10+K9*'Daftar Produk &amp; Harga'!$C$11+L9*'Daftar Produk &amp; Harga'!$C$12+M9*'Daftar Produk &amp; Harga'!$C$13+N9*'Daftar Produk &amp; Harga'!$C$14+O9*'Daftar Produk &amp; Harga'!$C$15+P9*'Daftar Produk &amp; Harga'!$C$16+Q9*'Daftar Produk &amp; Harga'!$C$17+R9*'Daftar Produk &amp; Harga'!$C$18+S9*'Daftar Produk &amp; Harga'!$C$19+T9*'Daftar Produk &amp; Harga'!$C$20+U9*'Daftar Produk &amp; Harga'!$C$21+V9*'Daftar Produk &amp; Harga'!$C$22+W9*'Daftar Produk &amp; Harga'!$C$23+X9*'Daftar Produk &amp; Harga'!$C$24+Y9*'Daftar Produk &amp; Harga'!$C$25+Z9*'Daftar Produk &amp; Harga'!$C$26+AA9*'Daftar Produk &amp; Harga'!$C$27+AB9*'Daftar Produk &amp; Harga'!$C$28+AC9*'Daftar Produk &amp; Harga'!$C$29+AD9*'Daftar Produk &amp; Harga'!$C$30+AE9*'Daftar Produk &amp; Harga'!$C$31+AF9*'Daftar Produk &amp; Harga'!$C$32+AG9*'Daftar Produk &amp; Harga'!$C$33+AH9*'Daftar Produk &amp; Harga'!$C$34</x:f>
        <x:v>32850000</x:v>
      </x:c>
    </x:row>
    <x:row r="10" ht="18" customHeight="1">
      <x:c r="A10" s="178" t="n">
        <x:v>7</x:v>
      </x:c>
      <x:c r="B10" s="179" t="n">
        <x:v>46149</x:v>
      </x:c>
      <x:c r="C10" s="178" t="str">
        <x:v>Kamis</x:v>
      </x:c>
      <x:c r="D10" s="184" t="n">
        <x:v>0</x:v>
      </x:c>
      <x:c r="E10" s="184" t="n">
        <x:v>50</x:v>
      </x:c>
      <x:c r="F10" s="184" t="n">
        <x:v>0</x:v>
      </x:c>
      <x:c r="G10" s="184" t="n">
        <x:v>40</x:v>
      </x:c>
      <x:c r="H10" s="184" t="n">
        <x:v>50</x:v>
      </x:c>
      <x:c r="I10" s="184" t="n">
        <x:v>0</x:v>
      </x:c>
      <x:c r="J10" s="184" t="n">
        <x:v>0</x:v>
      </x:c>
      <x:c r="K10" s="184" t="n">
        <x:v>0</x:v>
      </x:c>
      <x:c r="L10" s="184" t="n">
        <x:v>50</x:v>
      </x:c>
      <x:c r="M10" s="184" t="n">
        <x:v>0</x:v>
      </x:c>
      <x:c r="N10" s="186" t="n">
        <x:v>30</x:v>
      </x:c>
      <x:c r="O10" s="186" t="n">
        <x:v>30</x:v>
      </x:c>
      <x:c r="P10" s="186" t="n">
        <x:v>35</x:v>
      </x:c>
      <x:c r="Q10" s="186" t="n">
        <x:v>30</x:v>
      </x:c>
      <x:c r="R10" s="186" t="n">
        <x:v>35</x:v>
      </x:c>
      <x:c r="S10" s="186" t="n">
        <x:v>40</x:v>
      </x:c>
      <x:c r="T10" s="186" t="n">
        <x:v>40</x:v>
      </x:c>
      <x:c r="U10" s="186" t="n">
        <x:v>40</x:v>
      </x:c>
      <x:c r="V10" s="186" t="n">
        <x:v>40</x:v>
      </x:c>
      <x:c r="W10" s="186" t="n">
        <x:v>35</x:v>
      </x:c>
      <x:c r="X10" s="186" t="n">
        <x:v>30</x:v>
      </x:c>
      <x:c r="Y10" s="186" t="n">
        <x:v>30</x:v>
      </x:c>
      <x:c r="Z10" s="186" t="n">
        <x:v>30</x:v>
      </x:c>
      <x:c r="AA10" s="186" t="n">
        <x:v>30</x:v>
      </x:c>
      <x:c r="AB10" s="186" t="n">
        <x:v>35</x:v>
      </x:c>
      <x:c r="AC10" s="186" t="n">
        <x:v>35</x:v>
      </x:c>
      <x:c r="AD10" s="186" t="n">
        <x:v>40</x:v>
      </x:c>
      <x:c r="AE10" s="186" t="n">
        <x:v>40</x:v>
      </x:c>
      <x:c r="AF10" s="186" t="n">
        <x:v>40</x:v>
      </x:c>
      <x:c r="AG10" s="186" t="n">
        <x:v>35</x:v>
      </x:c>
      <x:c r="AH10" s="186" t="n">
        <x:v>40</x:v>
      </x:c>
      <x:c r="AI10" s="188" t="n">
        <x:f>SUM(D10:AH10)</x:f>
        <x:v>930</x:v>
      </x:c>
      <x:c r="AJ10" s="196" t="n">
        <x:f>D10*'Daftar Produk &amp; Harga'!$C$4+E10*'Daftar Produk &amp; Harga'!$C$5+F10*'Daftar Produk &amp; Harga'!$C$6+G10*'Daftar Produk &amp; Harga'!$C$7+H10*'Daftar Produk &amp; Harga'!$C$8+I10*'Daftar Produk &amp; Harga'!$C$9+J10*'Daftar Produk &amp; Harga'!$C$10+K10*'Daftar Produk &amp; Harga'!$C$11+L10*'Daftar Produk &amp; Harga'!$C$12+M10*'Daftar Produk &amp; Harga'!$C$13+N10*'Daftar Produk &amp; Harga'!$C$14+O10*'Daftar Produk &amp; Harga'!$C$15+P10*'Daftar Produk &amp; Harga'!$C$16+Q10*'Daftar Produk &amp; Harga'!$C$17+R10*'Daftar Produk &amp; Harga'!$C$18+S10*'Daftar Produk &amp; Harga'!$C$19+T10*'Daftar Produk &amp; Harga'!$C$20+U10*'Daftar Produk &amp; Harga'!$C$21+V10*'Daftar Produk &amp; Harga'!$C$22+W10*'Daftar Produk &amp; Harga'!$C$23+X10*'Daftar Produk &amp; Harga'!$C$24+Y10*'Daftar Produk &amp; Harga'!$C$25+Z10*'Daftar Produk &amp; Harga'!$C$26+AA10*'Daftar Produk &amp; Harga'!$C$27+AB10*'Daftar Produk &amp; Harga'!$C$28+AC10*'Daftar Produk &amp; Harga'!$C$29+AD10*'Daftar Produk &amp; Harga'!$C$30+AE10*'Daftar Produk &amp; Harga'!$C$31+AF10*'Daftar Produk &amp; Harga'!$C$32+AG10*'Daftar Produk &amp; Harga'!$C$33+AH10*'Daftar Produk &amp; Harga'!$C$34</x:f>
        <x:v>31600000</x:v>
      </x:c>
    </x:row>
    <x:row r="11" ht="18" customHeight="1">
      <x:c r="A11" s="178" t="n">
        <x:v>8</x:v>
      </x:c>
      <x:c r="B11" s="179" t="n">
        <x:v>46150</x:v>
      </x:c>
      <x:c r="C11" s="178" t="str">
        <x:v>Jumat</x:v>
      </x:c>
      <x:c r="D11" s="184" t="n">
        <x:v>30</x:v>
      </x:c>
      <x:c r="E11" s="184" t="n">
        <x:v>0</x:v>
      </x:c>
      <x:c r="F11" s="184" t="n">
        <x:v>0</x:v>
      </x:c>
      <x:c r="G11" s="184" t="n">
        <x:v>50</x:v>
      </x:c>
      <x:c r="H11" s="184" t="n">
        <x:v>50</x:v>
      </x:c>
      <x:c r="I11" s="184" t="n">
        <x:v>0</x:v>
      </x:c>
      <x:c r="J11" s="184" t="n">
        <x:v>0</x:v>
      </x:c>
      <x:c r="K11" s="184" t="n">
        <x:v>50</x:v>
      </x:c>
      <x:c r="L11" s="184" t="n">
        <x:v>50</x:v>
      </x:c>
      <x:c r="M11" s="184" t="n">
        <x:v>40</x:v>
      </x:c>
      <x:c r="N11" s="186" t="n">
        <x:v>40</x:v>
      </x:c>
      <x:c r="O11" s="186" t="n">
        <x:v>35</x:v>
      </x:c>
      <x:c r="P11" s="186" t="n">
        <x:v>30</x:v>
      </x:c>
      <x:c r="Q11" s="186" t="n">
        <x:v>30</x:v>
      </x:c>
      <x:c r="R11" s="186" t="n">
        <x:v>35</x:v>
      </x:c>
      <x:c r="S11" s="186" t="n">
        <x:v>35</x:v>
      </x:c>
      <x:c r="T11" s="186" t="n">
        <x:v>35</x:v>
      </x:c>
      <x:c r="U11" s="186" t="n">
        <x:v>30</x:v>
      </x:c>
      <x:c r="V11" s="186" t="n">
        <x:v>35</x:v>
      </x:c>
      <x:c r="W11" s="186" t="n">
        <x:v>35</x:v>
      </x:c>
      <x:c r="X11" s="186" t="n">
        <x:v>35</x:v>
      </x:c>
      <x:c r="Y11" s="186" t="n">
        <x:v>40</x:v>
      </x:c>
      <x:c r="Z11" s="186" t="n">
        <x:v>35</x:v>
      </x:c>
      <x:c r="AA11" s="186" t="n">
        <x:v>30</x:v>
      </x:c>
      <x:c r="AB11" s="186" t="n">
        <x:v>30</x:v>
      </x:c>
      <x:c r="AC11" s="186" t="n">
        <x:v>30</x:v>
      </x:c>
      <x:c r="AD11" s="186" t="n">
        <x:v>40</x:v>
      </x:c>
      <x:c r="AE11" s="186" t="n">
        <x:v>40</x:v>
      </x:c>
      <x:c r="AF11" s="186" t="n">
        <x:v>40</x:v>
      </x:c>
      <x:c r="AG11" s="186" t="n">
        <x:v>30</x:v>
      </x:c>
      <x:c r="AH11" s="186" t="n">
        <x:v>40</x:v>
      </x:c>
      <x:c r="AI11" s="188" t="n">
        <x:f>SUM(D11:AH11)</x:f>
        <x:v>1000</x:v>
      </x:c>
      <x:c r="AJ11" s="196" t="n">
        <x:f>D11*'Daftar Produk &amp; Harga'!$C$4+E11*'Daftar Produk &amp; Harga'!$C$5+F11*'Daftar Produk &amp; Harga'!$C$6+G11*'Daftar Produk &amp; Harga'!$C$7+H11*'Daftar Produk &amp; Harga'!$C$8+I11*'Daftar Produk &amp; Harga'!$C$9+J11*'Daftar Produk &amp; Harga'!$C$10+K11*'Daftar Produk &amp; Harga'!$C$11+L11*'Daftar Produk &amp; Harga'!$C$12+M11*'Daftar Produk &amp; Harga'!$C$13+N11*'Daftar Produk &amp; Harga'!$C$14+O11*'Daftar Produk &amp; Harga'!$C$15+P11*'Daftar Produk &amp; Harga'!$C$16+Q11*'Daftar Produk &amp; Harga'!$C$17+R11*'Daftar Produk &amp; Harga'!$C$18+S11*'Daftar Produk &amp; Harga'!$C$19+T11*'Daftar Produk &amp; Harga'!$C$20+U11*'Daftar Produk &amp; Harga'!$C$21+V11*'Daftar Produk &amp; Harga'!$C$22+W11*'Daftar Produk &amp; Harga'!$C$23+X11*'Daftar Produk &amp; Harga'!$C$24+Y11*'Daftar Produk &amp; Harga'!$C$25+Z11*'Daftar Produk &amp; Harga'!$C$26+AA11*'Daftar Produk &amp; Harga'!$C$27+AB11*'Daftar Produk &amp; Harga'!$C$28+AC11*'Daftar Produk &amp; Harga'!$C$29+AD11*'Daftar Produk &amp; Harga'!$C$30+AE11*'Daftar Produk &amp; Harga'!$C$31+AF11*'Daftar Produk &amp; Harga'!$C$32+AG11*'Daftar Produk &amp; Harga'!$C$33+AH11*'Daftar Produk &amp; Harga'!$C$34</x:f>
        <x:v>35355000</x:v>
      </x:c>
    </x:row>
    <x:row r="12" ht="18" customHeight="1">
      <x:c r="A12" s="178" t="n">
        <x:v>9</x:v>
      </x:c>
      <x:c r="B12" s="179" t="n">
        <x:v>46151</x:v>
      </x:c>
      <x:c r="C12" s="178" t="str">
        <x:v>Sabtu</x:v>
      </x:c>
      <x:c r="D12" s="184" t="n">
        <x:v>30</x:v>
      </x:c>
      <x:c r="E12" s="184" t="n">
        <x:v>0</x:v>
      </x:c>
      <x:c r="F12" s="184" t="n">
        <x:v>0</x:v>
      </x:c>
      <x:c r="G12" s="184" t="n">
        <x:v>0</x:v>
      </x:c>
      <x:c r="H12" s="184" t="n">
        <x:v>0</x:v>
      </x:c>
      <x:c r="I12" s="184" t="n">
        <x:v>0</x:v>
      </x:c>
      <x:c r="J12" s="184" t="n">
        <x:v>0</x:v>
      </x:c>
      <x:c r="K12" s="184" t="n">
        <x:v>50</x:v>
      </x:c>
      <x:c r="L12" s="184" t="n">
        <x:v>0</x:v>
      </x:c>
      <x:c r="M12" s="184" t="n">
        <x:v>40</x:v>
      </x:c>
      <x:c r="N12" s="186" t="n">
        <x:v>50</x:v>
      </x:c>
      <x:c r="O12" s="186" t="n">
        <x:v>50</x:v>
      </x:c>
      <x:c r="P12" s="186" t="n">
        <x:v>40</x:v>
      </x:c>
      <x:c r="Q12" s="186" t="n">
        <x:v>40</x:v>
      </x:c>
      <x:c r="R12" s="186" t="n">
        <x:v>35</x:v>
      </x:c>
      <x:c r="S12" s="186" t="n">
        <x:v>50</x:v>
      </x:c>
      <x:c r="T12" s="186" t="n">
        <x:v>40</x:v>
      </x:c>
      <x:c r="U12" s="186" t="n">
        <x:v>40</x:v>
      </x:c>
      <x:c r="V12" s="186" t="n">
        <x:v>50</x:v>
      </x:c>
      <x:c r="W12" s="186" t="n">
        <x:v>35</x:v>
      </x:c>
      <x:c r="X12" s="186" t="n">
        <x:v>40</x:v>
      </x:c>
      <x:c r="Y12" s="186" t="n">
        <x:v>35</x:v>
      </x:c>
      <x:c r="Z12" s="186" t="n">
        <x:v>45</x:v>
      </x:c>
      <x:c r="AA12" s="186" t="n">
        <x:v>45</x:v>
      </x:c>
      <x:c r="AB12" s="186" t="n">
        <x:v>40</x:v>
      </x:c>
      <x:c r="AC12" s="186" t="n">
        <x:v>40</x:v>
      </x:c>
      <x:c r="AD12" s="186" t="n">
        <x:v>35</x:v>
      </x:c>
      <x:c r="AE12" s="186" t="n">
        <x:v>40</x:v>
      </x:c>
      <x:c r="AF12" s="186" t="n">
        <x:v>45</x:v>
      </x:c>
      <x:c r="AG12" s="186" t="n">
        <x:v>40</x:v>
      </x:c>
      <x:c r="AH12" s="186" t="n">
        <x:v>40</x:v>
      </x:c>
      <x:c r="AI12" s="188" t="n">
        <x:f>SUM(D12:AH12)</x:f>
        <x:v>995</x:v>
      </x:c>
      <x:c r="AJ12" s="196" t="n">
        <x:f>D12*'Daftar Produk &amp; Harga'!$C$4+E12*'Daftar Produk &amp; Harga'!$C$5+F12*'Daftar Produk &amp; Harga'!$C$6+G12*'Daftar Produk &amp; Harga'!$C$7+H12*'Daftar Produk &amp; Harga'!$C$8+I12*'Daftar Produk &amp; Harga'!$C$9+J12*'Daftar Produk &amp; Harga'!$C$10+K12*'Daftar Produk &amp; Harga'!$C$11+L12*'Daftar Produk &amp; Harga'!$C$12+M12*'Daftar Produk &amp; Harga'!$C$13+N12*'Daftar Produk &amp; Harga'!$C$14+O12*'Daftar Produk &amp; Harga'!$C$15+P12*'Daftar Produk &amp; Harga'!$C$16+Q12*'Daftar Produk &amp; Harga'!$C$17+R12*'Daftar Produk &amp; Harga'!$C$18+S12*'Daftar Produk &amp; Harga'!$C$19+T12*'Daftar Produk &amp; Harga'!$C$20+U12*'Daftar Produk &amp; Harga'!$C$21+V12*'Daftar Produk &amp; Harga'!$C$22+W12*'Daftar Produk &amp; Harga'!$C$23+X12*'Daftar Produk &amp; Harga'!$C$24+Y12*'Daftar Produk &amp; Harga'!$C$25+Z12*'Daftar Produk &amp; Harga'!$C$26+AA12*'Daftar Produk &amp; Harga'!$C$27+AB12*'Daftar Produk &amp; Harga'!$C$28+AC12*'Daftar Produk &amp; Harga'!$C$29+AD12*'Daftar Produk &amp; Harga'!$C$30+AE12*'Daftar Produk &amp; Harga'!$C$31+AF12*'Daftar Produk &amp; Harga'!$C$32+AG12*'Daftar Produk &amp; Harga'!$C$33+AH12*'Daftar Produk &amp; Harga'!$C$34</x:f>
        <x:v>33455000</x:v>
      </x:c>
    </x:row>
    <x:row r="13" ht="18" customHeight="1">
      <x:c r="A13" s="178" t="n">
        <x:v>10</x:v>
      </x:c>
      <x:c r="B13" s="179" t="n">
        <x:v>46152</x:v>
      </x:c>
      <x:c r="C13" s="178" t="str">
        <x:v>Minggu</x:v>
      </x:c>
      <x:c r="D13" s="184" t="n">
        <x:v>40</x:v>
      </x:c>
      <x:c r="E13" s="184" t="n">
        <x:v>0</x:v>
      </x:c>
      <x:c r="F13" s="184" t="n">
        <x:v>0</x:v>
      </x:c>
      <x:c r="G13" s="184" t="n">
        <x:v>0</x:v>
      </x:c>
      <x:c r="H13" s="184" t="n">
        <x:v>0</x:v>
      </x:c>
      <x:c r="I13" s="184" t="n">
        <x:v>0</x:v>
      </x:c>
      <x:c r="J13" s="184" t="n">
        <x:v>0</x:v>
      </x:c>
      <x:c r="K13" s="184" t="n">
        <x:v>0</x:v>
      </x:c>
      <x:c r="L13" s="184" t="n">
        <x:v>0</x:v>
      </x:c>
      <x:c r="M13" s="184" t="n">
        <x:v>40</x:v>
      </x:c>
      <x:c r="N13" s="186" t="n">
        <x:v>40</x:v>
      </x:c>
      <x:c r="O13" s="186" t="n">
        <x:v>45</x:v>
      </x:c>
      <x:c r="P13" s="186" t="n">
        <x:v>40</x:v>
      </x:c>
      <x:c r="Q13" s="186" t="n">
        <x:v>40</x:v>
      </x:c>
      <x:c r="R13" s="186" t="n">
        <x:v>40</x:v>
      </x:c>
      <x:c r="S13" s="186" t="n">
        <x:v>40</x:v>
      </x:c>
      <x:c r="T13" s="186" t="n">
        <x:v>40</x:v>
      </x:c>
      <x:c r="U13" s="186" t="n">
        <x:v>35</x:v>
      </x:c>
      <x:c r="V13" s="186" t="n">
        <x:v>50</x:v>
      </x:c>
      <x:c r="W13" s="186" t="n">
        <x:v>50</x:v>
      </x:c>
      <x:c r="X13" s="186" t="n">
        <x:v>40</x:v>
      </x:c>
      <x:c r="Y13" s="186" t="n">
        <x:v>40</x:v>
      </x:c>
      <x:c r="Z13" s="186" t="n">
        <x:v>50</x:v>
      </x:c>
      <x:c r="AA13" s="186" t="n">
        <x:v>50</x:v>
      </x:c>
      <x:c r="AB13" s="186" t="n">
        <x:v>40</x:v>
      </x:c>
      <x:c r="AC13" s="186" t="n">
        <x:v>40</x:v>
      </x:c>
      <x:c r="AD13" s="186" t="n">
        <x:v>35</x:v>
      </x:c>
      <x:c r="AE13" s="186" t="n">
        <x:v>35</x:v>
      </x:c>
      <x:c r="AF13" s="186" t="n">
        <x:v>50</x:v>
      </x:c>
      <x:c r="AG13" s="186" t="n">
        <x:v>40</x:v>
      </x:c>
      <x:c r="AH13" s="186" t="n">
        <x:v>40</x:v>
      </x:c>
      <x:c r="AI13" s="188" t="n">
        <x:f>SUM(D13:AH13)</x:f>
        <x:v>960</x:v>
      </x:c>
      <x:c r="AJ13" s="196" t="n">
        <x:f>D13*'Daftar Produk &amp; Harga'!$C$4+E13*'Daftar Produk &amp; Harga'!$C$5+F13*'Daftar Produk &amp; Harga'!$C$6+G13*'Daftar Produk &amp; Harga'!$C$7+H13*'Daftar Produk &amp; Harga'!$C$8+I13*'Daftar Produk &amp; Harga'!$C$9+J13*'Daftar Produk &amp; Harga'!$C$10+K13*'Daftar Produk &amp; Harga'!$C$11+L13*'Daftar Produk &amp; Harga'!$C$12+M13*'Daftar Produk &amp; Harga'!$C$13+N13*'Daftar Produk &amp; Harga'!$C$14+O13*'Daftar Produk &amp; Harga'!$C$15+P13*'Daftar Produk &amp; Harga'!$C$16+Q13*'Daftar Produk &amp; Harga'!$C$17+R13*'Daftar Produk &amp; Harga'!$C$18+S13*'Daftar Produk &amp; Harga'!$C$19+T13*'Daftar Produk &amp; Harga'!$C$20+U13*'Daftar Produk &amp; Harga'!$C$21+V13*'Daftar Produk &amp; Harga'!$C$22+W13*'Daftar Produk &amp; Harga'!$C$23+X13*'Daftar Produk &amp; Harga'!$C$24+Y13*'Daftar Produk &amp; Harga'!$C$25+Z13*'Daftar Produk &amp; Harga'!$C$26+AA13*'Daftar Produk &amp; Harga'!$C$27+AB13*'Daftar Produk &amp; Harga'!$C$28+AC13*'Daftar Produk &amp; Harga'!$C$29+AD13*'Daftar Produk &amp; Harga'!$C$30+AE13*'Daftar Produk &amp; Harga'!$C$31+AF13*'Daftar Produk &amp; Harga'!$C$32+AG13*'Daftar Produk &amp; Harga'!$C$33+AH13*'Daftar Produk &amp; Harga'!$C$34</x:f>
        <x:v>30880000</x:v>
      </x:c>
    </x:row>
    <x:row r="14" ht="18" customHeight="1">
      <x:c r="A14" s="178" t="n">
        <x:v>11</x:v>
      </x:c>
      <x:c r="B14" s="179" t="n">
        <x:v>46153</x:v>
      </x:c>
      <x:c r="C14" s="178" t="str">
        <x:v>Senin</x:v>
      </x:c>
      <x:c r="D14" s="184" t="n">
        <x:v>40</x:v>
      </x:c>
      <x:c r="E14" s="184" t="n">
        <x:v>0</x:v>
      </x:c>
      <x:c r="F14" s="184" t="n">
        <x:v>0</x:v>
      </x:c>
      <x:c r="G14" s="184" t="n">
        <x:v>0</x:v>
      </x:c>
      <x:c r="H14" s="184" t="n">
        <x:v>0</x:v>
      </x:c>
      <x:c r="I14" s="184" t="n">
        <x:v>40</x:v>
      </x:c>
      <x:c r="J14" s="184" t="n">
        <x:v>40</x:v>
      </x:c>
      <x:c r="K14" s="184" t="n">
        <x:v>0</x:v>
      </x:c>
      <x:c r="L14" s="184" t="n">
        <x:v>0</x:v>
      </x:c>
      <x:c r="M14" s="184" t="n">
        <x:v>40</x:v>
      </x:c>
      <x:c r="N14" s="186" t="n">
        <x:v>30</x:v>
      </x:c>
      <x:c r="O14" s="186" t="n">
        <x:v>35</x:v>
      </x:c>
      <x:c r="P14" s="186" t="n">
        <x:v>30</x:v>
      </x:c>
      <x:c r="Q14" s="186" t="n">
        <x:v>40</x:v>
      </x:c>
      <x:c r="R14" s="186" t="n">
        <x:v>30</x:v>
      </x:c>
      <x:c r="S14" s="186" t="n">
        <x:v>30</x:v>
      </x:c>
      <x:c r="T14" s="186" t="n">
        <x:v>40</x:v>
      </x:c>
      <x:c r="U14" s="186" t="n">
        <x:v>30</x:v>
      </x:c>
      <x:c r="V14" s="186" t="n">
        <x:v>40</x:v>
      </x:c>
      <x:c r="W14" s="186" t="n">
        <x:v>35</x:v>
      </x:c>
      <x:c r="X14" s="186" t="n">
        <x:v>30</x:v>
      </x:c>
      <x:c r="Y14" s="186" t="n">
        <x:v>40</x:v>
      </x:c>
      <x:c r="Z14" s="186" t="n">
        <x:v>40</x:v>
      </x:c>
      <x:c r="AA14" s="186" t="n">
        <x:v>30</x:v>
      </x:c>
      <x:c r="AB14" s="186" t="n">
        <x:v>40</x:v>
      </x:c>
      <x:c r="AC14" s="186" t="n">
        <x:v>40</x:v>
      </x:c>
      <x:c r="AD14" s="186" t="n">
        <x:v>40</x:v>
      </x:c>
      <x:c r="AE14" s="186" t="n">
        <x:v>40</x:v>
      </x:c>
      <x:c r="AF14" s="186" t="n">
        <x:v>30</x:v>
      </x:c>
      <x:c r="AG14" s="186" t="n">
        <x:v>35</x:v>
      </x:c>
      <x:c r="AH14" s="186" t="n">
        <x:v>30</x:v>
      </x:c>
      <x:c r="AI14" s="188" t="n">
        <x:f>SUM(D14:AH14)</x:f>
        <x:v>895</x:v>
      </x:c>
      <x:c r="AJ14" s="196" t="n">
        <x:f>D14*'Daftar Produk &amp; Harga'!$C$4+E14*'Daftar Produk &amp; Harga'!$C$5+F14*'Daftar Produk &amp; Harga'!$C$6+G14*'Daftar Produk &amp; Harga'!$C$7+H14*'Daftar Produk &amp; Harga'!$C$8+I14*'Daftar Produk &amp; Harga'!$C$9+J14*'Daftar Produk &amp; Harga'!$C$10+K14*'Daftar Produk &amp; Harga'!$C$11+L14*'Daftar Produk &amp; Harga'!$C$12+M14*'Daftar Produk &amp; Harga'!$C$13+N14*'Daftar Produk &amp; Harga'!$C$14+O14*'Daftar Produk &amp; Harga'!$C$15+P14*'Daftar Produk &amp; Harga'!$C$16+Q14*'Daftar Produk &amp; Harga'!$C$17+R14*'Daftar Produk &amp; Harga'!$C$18+S14*'Daftar Produk &amp; Harga'!$C$19+T14*'Daftar Produk &amp; Harga'!$C$20+U14*'Daftar Produk &amp; Harga'!$C$21+V14*'Daftar Produk &amp; Harga'!$C$22+W14*'Daftar Produk &amp; Harga'!$C$23+X14*'Daftar Produk &amp; Harga'!$C$24+Y14*'Daftar Produk &amp; Harga'!$C$25+Z14*'Daftar Produk &amp; Harga'!$C$26+AA14*'Daftar Produk &amp; Harga'!$C$27+AB14*'Daftar Produk &amp; Harga'!$C$28+AC14*'Daftar Produk &amp; Harga'!$C$29+AD14*'Daftar Produk &amp; Harga'!$C$30+AE14*'Daftar Produk &amp; Harga'!$C$31+AF14*'Daftar Produk &amp; Harga'!$C$32+AG14*'Daftar Produk &amp; Harga'!$C$33+AH14*'Daftar Produk &amp; Harga'!$C$34</x:f>
        <x:v>28280000</x:v>
      </x:c>
    </x:row>
    <x:row r="15" ht="18" customHeight="1">
      <x:c r="A15" s="178" t="n">
        <x:v>12</x:v>
      </x:c>
      <x:c r="B15" s="179" t="n">
        <x:v>46154</x:v>
      </x:c>
      <x:c r="C15" s="178" t="str">
        <x:v>Selasa</x:v>
      </x:c>
      <x:c r="D15" s="184" t="n">
        <x:v>0</x:v>
      </x:c>
      <x:c r="E15" s="184" t="n">
        <x:v>0</x:v>
      </x:c>
      <x:c r="F15" s="184" t="n">
        <x:v>40</x:v>
      </x:c>
      <x:c r="G15" s="184" t="n">
        <x:v>0</x:v>
      </x:c>
      <x:c r="H15" s="184" t="n">
        <x:v>0</x:v>
      </x:c>
      <x:c r="I15" s="184" t="n">
        <x:v>40</x:v>
      </x:c>
      <x:c r="J15" s="184" t="n">
        <x:v>40</x:v>
      </x:c>
      <x:c r="K15" s="184" t="n">
        <x:v>0</x:v>
      </x:c>
      <x:c r="L15" s="184" t="n">
        <x:v>0</x:v>
      </x:c>
      <x:c r="M15" s="184" t="n">
        <x:v>40</x:v>
      </x:c>
      <x:c r="N15" s="186" t="n">
        <x:v>40</x:v>
      </x:c>
      <x:c r="O15" s="186" t="n">
        <x:v>30</x:v>
      </x:c>
      <x:c r="P15" s="186" t="n">
        <x:v>35</x:v>
      </x:c>
      <x:c r="Q15" s="186" t="n">
        <x:v>30</x:v>
      </x:c>
      <x:c r="R15" s="186" t="n">
        <x:v>30</x:v>
      </x:c>
      <x:c r="S15" s="186" t="n">
        <x:v>35</x:v>
      </x:c>
      <x:c r="T15" s="186" t="n">
        <x:v>35</x:v>
      </x:c>
      <x:c r="U15" s="186" t="n">
        <x:v>35</x:v>
      </x:c>
      <x:c r="V15" s="186" t="n">
        <x:v>40</x:v>
      </x:c>
      <x:c r="W15" s="186" t="n">
        <x:v>35</x:v>
      </x:c>
      <x:c r="X15" s="186" t="n">
        <x:v>30</x:v>
      </x:c>
      <x:c r="Y15" s="186" t="n">
        <x:v>30</x:v>
      </x:c>
      <x:c r="Z15" s="186" t="n">
        <x:v>30</x:v>
      </x:c>
      <x:c r="AA15" s="186" t="n">
        <x:v>40</x:v>
      </x:c>
      <x:c r="AB15" s="186" t="n">
        <x:v>35</x:v>
      </x:c>
      <x:c r="AC15" s="186" t="n">
        <x:v>40</x:v>
      </x:c>
      <x:c r="AD15" s="186" t="n">
        <x:v>40</x:v>
      </x:c>
      <x:c r="AE15" s="186" t="n">
        <x:v>30</x:v>
      </x:c>
      <x:c r="AF15" s="186" t="n">
        <x:v>40</x:v>
      </x:c>
      <x:c r="AG15" s="186" t="n">
        <x:v>35</x:v>
      </x:c>
      <x:c r="AH15" s="186" t="n">
        <x:v>40</x:v>
      </x:c>
      <x:c r="AI15" s="188" t="n">
        <x:f>SUM(D15:AH15)</x:f>
        <x:v>895</x:v>
      </x:c>
      <x:c r="AJ15" s="196" t="n">
        <x:f>D15*'Daftar Produk &amp; Harga'!$C$4+E15*'Daftar Produk &amp; Harga'!$C$5+F15*'Daftar Produk &amp; Harga'!$C$6+G15*'Daftar Produk &amp; Harga'!$C$7+H15*'Daftar Produk &amp; Harga'!$C$8+I15*'Daftar Produk &amp; Harga'!$C$9+J15*'Daftar Produk &amp; Harga'!$C$10+K15*'Daftar Produk &amp; Harga'!$C$11+L15*'Daftar Produk &amp; Harga'!$C$12+M15*'Daftar Produk &amp; Harga'!$C$13+N15*'Daftar Produk &amp; Harga'!$C$14+O15*'Daftar Produk &amp; Harga'!$C$15+P15*'Daftar Produk &amp; Harga'!$C$16+Q15*'Daftar Produk &amp; Harga'!$C$17+R15*'Daftar Produk &amp; Harga'!$C$18+S15*'Daftar Produk &amp; Harga'!$C$19+T15*'Daftar Produk &amp; Harga'!$C$20+U15*'Daftar Produk &amp; Harga'!$C$21+V15*'Daftar Produk &amp; Harga'!$C$22+W15*'Daftar Produk &amp; Harga'!$C$23+X15*'Daftar Produk &amp; Harga'!$C$24+Y15*'Daftar Produk &amp; Harga'!$C$25+Z15*'Daftar Produk &amp; Harga'!$C$26+AA15*'Daftar Produk &amp; Harga'!$C$27+AB15*'Daftar Produk &amp; Harga'!$C$28+AC15*'Daftar Produk &amp; Harga'!$C$29+AD15*'Daftar Produk &amp; Harga'!$C$30+AE15*'Daftar Produk &amp; Harga'!$C$31+AF15*'Daftar Produk &amp; Harga'!$C$32+AG15*'Daftar Produk &amp; Harga'!$C$33+AH15*'Daftar Produk &amp; Harga'!$C$34</x:f>
        <x:v>28215000</x:v>
      </x:c>
    </x:row>
    <x:row r="16" ht="18" customHeight="1">
      <x:c r="A16" s="178" t="n">
        <x:v>13</x:v>
      </x:c>
      <x:c r="B16" s="179" t="n">
        <x:v>46155</x:v>
      </x:c>
      <x:c r="C16" s="178" t="str">
        <x:v>Rabu</x:v>
      </x:c>
      <x:c r="D16" s="184" t="n">
        <x:v>0</x:v>
      </x:c>
      <x:c r="E16" s="184" t="n">
        <x:v>0</x:v>
      </x:c>
      <x:c r="F16" s="184" t="n">
        <x:v>40</x:v>
      </x:c>
      <x:c r="G16" s="184" t="n">
        <x:v>0</x:v>
      </x:c>
      <x:c r="H16" s="184" t="n">
        <x:v>0</x:v>
      </x:c>
      <x:c r="I16" s="184" t="n">
        <x:v>50</x:v>
      </x:c>
      <x:c r="J16" s="184" t="n">
        <x:v>50</x:v>
      </x:c>
      <x:c r="K16" s="184" t="n">
        <x:v>0</x:v>
      </x:c>
      <x:c r="L16" s="184" t="n">
        <x:v>0</x:v>
      </x:c>
      <x:c r="M16" s="184" t="n">
        <x:v>50</x:v>
      </x:c>
      <x:c r="N16" s="186" t="n">
        <x:v>35</x:v>
      </x:c>
      <x:c r="O16" s="186" t="n">
        <x:v>30</x:v>
      </x:c>
      <x:c r="P16" s="186" t="n">
        <x:v>35</x:v>
      </x:c>
      <x:c r="Q16" s="186" t="n">
        <x:v>40</x:v>
      </x:c>
      <x:c r="R16" s="186" t="n">
        <x:v>30</x:v>
      </x:c>
      <x:c r="S16" s="186" t="n">
        <x:v>40</x:v>
      </x:c>
      <x:c r="T16" s="186" t="n">
        <x:v>30</x:v>
      </x:c>
      <x:c r="U16" s="186" t="n">
        <x:v>40</x:v>
      </x:c>
      <x:c r="V16" s="186" t="n">
        <x:v>40</x:v>
      </x:c>
      <x:c r="W16" s="186" t="n">
        <x:v>30</x:v>
      </x:c>
      <x:c r="X16" s="186" t="n">
        <x:v>40</x:v>
      </x:c>
      <x:c r="Y16" s="186" t="n">
        <x:v>35</x:v>
      </x:c>
      <x:c r="Z16" s="186" t="n">
        <x:v>40</x:v>
      </x:c>
      <x:c r="AA16" s="186" t="n">
        <x:v>35</x:v>
      </x:c>
      <x:c r="AB16" s="186" t="n">
        <x:v>30</x:v>
      </x:c>
      <x:c r="AC16" s="186" t="n">
        <x:v>35</x:v>
      </x:c>
      <x:c r="AD16" s="186" t="n">
        <x:v>30</x:v>
      </x:c>
      <x:c r="AE16" s="186" t="n">
        <x:v>35</x:v>
      </x:c>
      <x:c r="AF16" s="186" t="n">
        <x:v>30</x:v>
      </x:c>
      <x:c r="AG16" s="186" t="n">
        <x:v>40</x:v>
      </x:c>
      <x:c r="AH16" s="186" t="n">
        <x:v>30</x:v>
      </x:c>
      <x:c r="AI16" s="188" t="n">
        <x:f>SUM(D16:AH16)</x:f>
        <x:v>920</x:v>
      </x:c>
      <x:c r="AJ16" s="196" t="n">
        <x:f>D16*'Daftar Produk &amp; Harga'!$C$4+E16*'Daftar Produk &amp; Harga'!$C$5+F16*'Daftar Produk &amp; Harga'!$C$6+G16*'Daftar Produk &amp; Harga'!$C$7+H16*'Daftar Produk &amp; Harga'!$C$8+I16*'Daftar Produk &amp; Harga'!$C$9+J16*'Daftar Produk &amp; Harga'!$C$10+K16*'Daftar Produk &amp; Harga'!$C$11+L16*'Daftar Produk &amp; Harga'!$C$12+M16*'Daftar Produk &amp; Harga'!$C$13+N16*'Daftar Produk &amp; Harga'!$C$14+O16*'Daftar Produk &amp; Harga'!$C$15+P16*'Daftar Produk &amp; Harga'!$C$16+Q16*'Daftar Produk &amp; Harga'!$C$17+R16*'Daftar Produk &amp; Harga'!$C$18+S16*'Daftar Produk &amp; Harga'!$C$19+T16*'Daftar Produk &amp; Harga'!$C$20+U16*'Daftar Produk &amp; Harga'!$C$21+V16*'Daftar Produk &amp; Harga'!$C$22+W16*'Daftar Produk &amp; Harga'!$C$23+X16*'Daftar Produk &amp; Harga'!$C$24+Y16*'Daftar Produk &amp; Harga'!$C$25+Z16*'Daftar Produk &amp; Harga'!$C$26+AA16*'Daftar Produk &amp; Harga'!$C$27+AB16*'Daftar Produk &amp; Harga'!$C$28+AC16*'Daftar Produk &amp; Harga'!$C$29+AD16*'Daftar Produk &amp; Harga'!$C$30+AE16*'Daftar Produk &amp; Harga'!$C$31+AF16*'Daftar Produk &amp; Harga'!$C$32+AG16*'Daftar Produk &amp; Harga'!$C$33+AH16*'Daftar Produk &amp; Harga'!$C$34</x:f>
        <x:v>28740000</x:v>
      </x:c>
    </x:row>
    <x:row r="17" ht="18" customHeight="1">
      <x:c r="A17" s="178" t="n">
        <x:v>14</x:v>
      </x:c>
      <x:c r="B17" s="179" t="n">
        <x:v>46156</x:v>
      </x:c>
      <x:c r="C17" s="178" t="str">
        <x:v>Kamis</x:v>
      </x:c>
      <x:c r="D17" s="184" t="n">
        <x:v>30</x:v>
      </x:c>
      <x:c r="E17" s="184" t="n">
        <x:v>0</x:v>
      </x:c>
      <x:c r="F17" s="184" t="n">
        <x:v>50</x:v>
      </x:c>
      <x:c r="G17" s="184" t="n">
        <x:v>0</x:v>
      </x:c>
      <x:c r="H17" s="184" t="n">
        <x:v>0</x:v>
      </x:c>
      <x:c r="I17" s="184" t="n">
        <x:v>50</x:v>
      </x:c>
      <x:c r="J17" s="184" t="n">
        <x:v>50</x:v>
      </x:c>
      <x:c r="K17" s="184" t="n">
        <x:v>40</x:v>
      </x:c>
      <x:c r="L17" s="184" t="n">
        <x:v>0</x:v>
      </x:c>
      <x:c r="M17" s="184" t="n">
        <x:v>0</x:v>
      </x:c>
      <x:c r="N17" s="186" t="n">
        <x:v>35</x:v>
      </x:c>
      <x:c r="O17" s="186" t="n">
        <x:v>40</x:v>
      </x:c>
      <x:c r="P17" s="186" t="n">
        <x:v>35</x:v>
      </x:c>
      <x:c r="Q17" s="186" t="n">
        <x:v>30</x:v>
      </x:c>
      <x:c r="R17" s="186" t="n">
        <x:v>30</x:v>
      </x:c>
      <x:c r="S17" s="186" t="n">
        <x:v>35</x:v>
      </x:c>
      <x:c r="T17" s="186" t="n">
        <x:v>40</x:v>
      </x:c>
      <x:c r="U17" s="186" t="n">
        <x:v>40</x:v>
      </x:c>
      <x:c r="V17" s="186" t="n">
        <x:v>30</x:v>
      </x:c>
      <x:c r="W17" s="186" t="n">
        <x:v>40</x:v>
      </x:c>
      <x:c r="X17" s="186" t="n">
        <x:v>30</x:v>
      </x:c>
      <x:c r="Y17" s="186" t="n">
        <x:v>35</x:v>
      </x:c>
      <x:c r="Z17" s="186" t="n">
        <x:v>40</x:v>
      </x:c>
      <x:c r="AA17" s="186" t="n">
        <x:v>30</x:v>
      </x:c>
      <x:c r="AB17" s="186" t="n">
        <x:v>30</x:v>
      </x:c>
      <x:c r="AC17" s="186" t="n">
        <x:v>40</x:v>
      </x:c>
      <x:c r="AD17" s="186" t="n">
        <x:v>35</x:v>
      </x:c>
      <x:c r="AE17" s="186" t="n">
        <x:v>35</x:v>
      </x:c>
      <x:c r="AF17" s="186" t="n">
        <x:v>30</x:v>
      </x:c>
      <x:c r="AG17" s="186" t="n">
        <x:v>30</x:v>
      </x:c>
      <x:c r="AH17" s="186" t="n">
        <x:v>40</x:v>
      </x:c>
      <x:c r="AI17" s="188" t="n">
        <x:f>SUM(D17:AH17)</x:f>
        <x:v>950</x:v>
      </x:c>
      <x:c r="AJ17" s="196" t="n">
        <x:f>D17*'Daftar Produk &amp; Harga'!$C$4+E17*'Daftar Produk &amp; Harga'!$C$5+F17*'Daftar Produk &amp; Harga'!$C$6+G17*'Daftar Produk &amp; Harga'!$C$7+H17*'Daftar Produk &amp; Harga'!$C$8+I17*'Daftar Produk &amp; Harga'!$C$9+J17*'Daftar Produk &amp; Harga'!$C$10+K17*'Daftar Produk &amp; Harga'!$C$11+L17*'Daftar Produk &amp; Harga'!$C$12+M17*'Daftar Produk &amp; Harga'!$C$13+N17*'Daftar Produk &amp; Harga'!$C$14+O17*'Daftar Produk &amp; Harga'!$C$15+P17*'Daftar Produk &amp; Harga'!$C$16+Q17*'Daftar Produk &amp; Harga'!$C$17+R17*'Daftar Produk &amp; Harga'!$C$18+S17*'Daftar Produk &amp; Harga'!$C$19+T17*'Daftar Produk &amp; Harga'!$C$20+U17*'Daftar Produk &amp; Harga'!$C$21+V17*'Daftar Produk &amp; Harga'!$C$22+W17*'Daftar Produk &amp; Harga'!$C$23+X17*'Daftar Produk &amp; Harga'!$C$24+Y17*'Daftar Produk &amp; Harga'!$C$25+Z17*'Daftar Produk &amp; Harga'!$C$26+AA17*'Daftar Produk &amp; Harga'!$C$27+AB17*'Daftar Produk &amp; Harga'!$C$28+AC17*'Daftar Produk &amp; Harga'!$C$29+AD17*'Daftar Produk &amp; Harga'!$C$30+AE17*'Daftar Produk &amp; Harga'!$C$31+AF17*'Daftar Produk &amp; Harga'!$C$32+AG17*'Daftar Produk &amp; Harga'!$C$33+AH17*'Daftar Produk &amp; Harga'!$C$34</x:f>
        <x:v>30840000</x:v>
      </x:c>
    </x:row>
    <x:row r="18" ht="18" customHeight="1">
      <x:c r="A18" s="178" t="n">
        <x:v>15</x:v>
      </x:c>
      <x:c r="B18" s="179" t="n">
        <x:v>46157</x:v>
      </x:c>
      <x:c r="C18" s="178" t="str">
        <x:v>Jumat</x:v>
      </x:c>
      <x:c r="D18" s="184" t="n">
        <x:v>30</x:v>
      </x:c>
      <x:c r="E18" s="184" t="n">
        <x:v>0</x:v>
      </x:c>
      <x:c r="F18" s="184" t="n">
        <x:v>0</x:v>
      </x:c>
      <x:c r="G18" s="184" t="n">
        <x:v>0</x:v>
      </x:c>
      <x:c r="H18" s="184" t="n">
        <x:v>0</x:v>
      </x:c>
      <x:c r="I18" s="184" t="n">
        <x:v>0</x:v>
      </x:c>
      <x:c r="J18" s="184" t="n">
        <x:v>0</x:v>
      </x:c>
      <x:c r="K18" s="184" t="n">
        <x:v>40</x:v>
      </x:c>
      <x:c r="L18" s="184" t="n">
        <x:v>0</x:v>
      </x:c>
      <x:c r="M18" s="184" t="n">
        <x:v>0</x:v>
      </x:c>
      <x:c r="N18" s="186" t="n">
        <x:v>30</x:v>
      </x:c>
      <x:c r="O18" s="186" t="n">
        <x:v>35</x:v>
      </x:c>
      <x:c r="P18" s="186" t="n">
        <x:v>35</x:v>
      </x:c>
      <x:c r="Q18" s="186" t="n">
        <x:v>30</x:v>
      </x:c>
      <x:c r="R18" s="186" t="n">
        <x:v>30</x:v>
      </x:c>
      <x:c r="S18" s="186" t="n">
        <x:v>40</x:v>
      </x:c>
      <x:c r="T18" s="186" t="n">
        <x:v>40</x:v>
      </x:c>
      <x:c r="U18" s="186" t="n">
        <x:v>40</x:v>
      </x:c>
      <x:c r="V18" s="186" t="n">
        <x:v>35</x:v>
      </x:c>
      <x:c r="W18" s="186" t="n">
        <x:v>30</x:v>
      </x:c>
      <x:c r="X18" s="186" t="n">
        <x:v>35</x:v>
      </x:c>
      <x:c r="Y18" s="186" t="n">
        <x:v>35</x:v>
      </x:c>
      <x:c r="Z18" s="186" t="n">
        <x:v>35</x:v>
      </x:c>
      <x:c r="AA18" s="186" t="n">
        <x:v>40</x:v>
      </x:c>
      <x:c r="AB18" s="186" t="n">
        <x:v>35</x:v>
      </x:c>
      <x:c r="AC18" s="186" t="n">
        <x:v>35</x:v>
      </x:c>
      <x:c r="AD18" s="186" t="n">
        <x:v>40</x:v>
      </x:c>
      <x:c r="AE18" s="186" t="n">
        <x:v>40</x:v>
      </x:c>
      <x:c r="AF18" s="186" t="n">
        <x:v>30</x:v>
      </x:c>
      <x:c r="AG18" s="186" t="n">
        <x:v>40</x:v>
      </x:c>
      <x:c r="AH18" s="186" t="n">
        <x:v>30</x:v>
      </x:c>
      <x:c r="AI18" s="188" t="n">
        <x:f>SUM(D18:AH18)</x:f>
        <x:v>810</x:v>
      </x:c>
      <x:c r="AJ18" s="196" t="n">
        <x:f>D18*'Daftar Produk &amp; Harga'!$C$4+E18*'Daftar Produk &amp; Harga'!$C$5+F18*'Daftar Produk &amp; Harga'!$C$6+G18*'Daftar Produk &amp; Harga'!$C$7+H18*'Daftar Produk &amp; Harga'!$C$8+I18*'Daftar Produk &amp; Harga'!$C$9+J18*'Daftar Produk &amp; Harga'!$C$10+K18*'Daftar Produk &amp; Harga'!$C$11+L18*'Daftar Produk &amp; Harga'!$C$12+M18*'Daftar Produk &amp; Harga'!$C$13+N18*'Daftar Produk &amp; Harga'!$C$14+O18*'Daftar Produk &amp; Harga'!$C$15+P18*'Daftar Produk &amp; Harga'!$C$16+Q18*'Daftar Produk &amp; Harga'!$C$17+R18*'Daftar Produk &amp; Harga'!$C$18+S18*'Daftar Produk &amp; Harga'!$C$19+T18*'Daftar Produk &amp; Harga'!$C$20+U18*'Daftar Produk &amp; Harga'!$C$21+V18*'Daftar Produk &amp; Harga'!$C$22+W18*'Daftar Produk &amp; Harga'!$C$23+X18*'Daftar Produk &amp; Harga'!$C$24+Y18*'Daftar Produk &amp; Harga'!$C$25+Z18*'Daftar Produk &amp; Harga'!$C$26+AA18*'Daftar Produk &amp; Harga'!$C$27+AB18*'Daftar Produk &amp; Harga'!$C$28+AC18*'Daftar Produk &amp; Harga'!$C$29+AD18*'Daftar Produk &amp; Harga'!$C$30+AE18*'Daftar Produk &amp; Harga'!$C$31+AF18*'Daftar Produk &amp; Harga'!$C$32+AG18*'Daftar Produk &amp; Harga'!$C$33+AH18*'Daftar Produk &amp; Harga'!$C$34</x:f>
        <x:v>26765000</x:v>
      </x:c>
    </x:row>
    <x:row r="19" ht="18" customHeight="1">
      <x:c r="A19" s="178" t="n">
        <x:v>16</x:v>
      </x:c>
      <x:c r="B19" s="179" t="n">
        <x:v>46158</x:v>
      </x:c>
      <x:c r="C19" s="178" t="str">
        <x:v>Sabtu</x:v>
      </x:c>
      <x:c r="D19" s="184" t="n">
        <x:v>30</x:v>
      </x:c>
      <x:c r="E19" s="184" t="n">
        <x:v>0</x:v>
      </x:c>
      <x:c r="F19" s="184" t="n">
        <x:v>0</x:v>
      </x:c>
      <x:c r="G19" s="184" t="n">
        <x:v>0</x:v>
      </x:c>
      <x:c r="H19" s="184" t="n">
        <x:v>0</x:v>
      </x:c>
      <x:c r="I19" s="184" t="n">
        <x:v>0</x:v>
      </x:c>
      <x:c r="J19" s="184" t="n">
        <x:v>0</x:v>
      </x:c>
      <x:c r="K19" s="184" t="n">
        <x:v>40</x:v>
      </x:c>
      <x:c r="L19" s="184" t="n">
        <x:v>0</x:v>
      </x:c>
      <x:c r="M19" s="184" t="n">
        <x:v>0</x:v>
      </x:c>
      <x:c r="N19" s="186" t="n">
        <x:v>40</x:v>
      </x:c>
      <x:c r="O19" s="186" t="n">
        <x:v>50</x:v>
      </x:c>
      <x:c r="P19" s="186" t="n">
        <x:v>45</x:v>
      </x:c>
      <x:c r="Q19" s="186" t="n">
        <x:v>35</x:v>
      </x:c>
      <x:c r="R19" s="186" t="n">
        <x:v>45</x:v>
      </x:c>
      <x:c r="S19" s="186" t="n">
        <x:v>50</x:v>
      </x:c>
      <x:c r="T19" s="186" t="n">
        <x:v>35</x:v>
      </x:c>
      <x:c r="U19" s="186" t="n">
        <x:v>40</x:v>
      </x:c>
      <x:c r="V19" s="186" t="n">
        <x:v>45</x:v>
      </x:c>
      <x:c r="W19" s="186" t="n">
        <x:v>45</x:v>
      </x:c>
      <x:c r="X19" s="186" t="n">
        <x:v>40</x:v>
      </x:c>
      <x:c r="Y19" s="186" t="n">
        <x:v>45</x:v>
      </x:c>
      <x:c r="Z19" s="186" t="n">
        <x:v>45</x:v>
      </x:c>
      <x:c r="AA19" s="186" t="n">
        <x:v>40</x:v>
      </x:c>
      <x:c r="AB19" s="186" t="n">
        <x:v>40</x:v>
      </x:c>
      <x:c r="AC19" s="186" t="n">
        <x:v>45</x:v>
      </x:c>
      <x:c r="AD19" s="186" t="n">
        <x:v>45</x:v>
      </x:c>
      <x:c r="AE19" s="186" t="n">
        <x:v>50</x:v>
      </x:c>
      <x:c r="AF19" s="186" t="n">
        <x:v>40</x:v>
      </x:c>
      <x:c r="AG19" s="186" t="n">
        <x:v>35</x:v>
      </x:c>
      <x:c r="AH19" s="186" t="n">
        <x:v>40</x:v>
      </x:c>
      <x:c r="AI19" s="188" t="n">
        <x:f>SUM(D19:AH19)</x:f>
        <x:v>965</x:v>
      </x:c>
      <x:c r="AJ19" s="196" t="n">
        <x:f>D19*'Daftar Produk &amp; Harga'!$C$4+E19*'Daftar Produk &amp; Harga'!$C$5+F19*'Daftar Produk &amp; Harga'!$C$6+G19*'Daftar Produk &amp; Harga'!$C$7+H19*'Daftar Produk &amp; Harga'!$C$8+I19*'Daftar Produk &amp; Harga'!$C$9+J19*'Daftar Produk &amp; Harga'!$C$10+K19*'Daftar Produk &amp; Harga'!$C$11+L19*'Daftar Produk &amp; Harga'!$C$12+M19*'Daftar Produk &amp; Harga'!$C$13+N19*'Daftar Produk &amp; Harga'!$C$14+O19*'Daftar Produk &amp; Harga'!$C$15+P19*'Daftar Produk &amp; Harga'!$C$16+Q19*'Daftar Produk &amp; Harga'!$C$17+R19*'Daftar Produk &amp; Harga'!$C$18+S19*'Daftar Produk &amp; Harga'!$C$19+T19*'Daftar Produk &amp; Harga'!$C$20+U19*'Daftar Produk &amp; Harga'!$C$21+V19*'Daftar Produk &amp; Harga'!$C$22+W19*'Daftar Produk &amp; Harga'!$C$23+X19*'Daftar Produk &amp; Harga'!$C$24+Y19*'Daftar Produk &amp; Harga'!$C$25+Z19*'Daftar Produk &amp; Harga'!$C$26+AA19*'Daftar Produk &amp; Harga'!$C$27+AB19*'Daftar Produk &amp; Harga'!$C$28+AC19*'Daftar Produk &amp; Harga'!$C$29+AD19*'Daftar Produk &amp; Harga'!$C$30+AE19*'Daftar Produk &amp; Harga'!$C$31+AF19*'Daftar Produk &amp; Harga'!$C$32+AG19*'Daftar Produk &amp; Harga'!$C$33+AH19*'Daftar Produk &amp; Harga'!$C$34</x:f>
        <x:v>32310000</x:v>
      </x:c>
    </x:row>
    <x:row r="20" ht="18" customHeight="1">
      <x:c r="A20" s="178" t="n">
        <x:v>17</x:v>
      </x:c>
      <x:c r="B20" s="179" t="n">
        <x:v>46159</x:v>
      </x:c>
      <x:c r="C20" s="178" t="str">
        <x:v>Minggu</x:v>
      </x:c>
      <x:c r="D20" s="184" t="n">
        <x:v>40</x:v>
      </x:c>
      <x:c r="E20" s="184" t="n">
        <x:v>0</x:v>
      </x:c>
      <x:c r="F20" s="184" t="n">
        <x:v>0</x:v>
      </x:c>
      <x:c r="G20" s="184" t="n">
        <x:v>0</x:v>
      </x:c>
      <x:c r="H20" s="184" t="n">
        <x:v>0</x:v>
      </x:c>
      <x:c r="I20" s="184" t="n">
        <x:v>0</x:v>
      </x:c>
      <x:c r="J20" s="184" t="n">
        <x:v>0</x:v>
      </x:c>
      <x:c r="K20" s="184" t="n">
        <x:v>40</x:v>
      </x:c>
      <x:c r="L20" s="184" t="n">
        <x:v>0</x:v>
      </x:c>
      <x:c r="M20" s="184" t="n">
        <x:v>0</x:v>
      </x:c>
      <x:c r="N20" s="186" t="n">
        <x:v>50</x:v>
      </x:c>
      <x:c r="O20" s="186" t="n">
        <x:v>40</x:v>
      </x:c>
      <x:c r="P20" s="186" t="n">
        <x:v>45</x:v>
      </x:c>
      <x:c r="Q20" s="186" t="n">
        <x:v>35</x:v>
      </x:c>
      <x:c r="R20" s="186" t="n">
        <x:v>50</x:v>
      </x:c>
      <x:c r="S20" s="186" t="n">
        <x:v>35</x:v>
      </x:c>
      <x:c r="T20" s="186" t="n">
        <x:v>40</x:v>
      </x:c>
      <x:c r="U20" s="186" t="n">
        <x:v>40</x:v>
      </x:c>
      <x:c r="V20" s="186" t="n">
        <x:v>35</x:v>
      </x:c>
      <x:c r="W20" s="186" t="n">
        <x:v>40</x:v>
      </x:c>
      <x:c r="X20" s="186" t="n">
        <x:v>45</x:v>
      </x:c>
      <x:c r="Y20" s="186" t="n">
        <x:v>40</x:v>
      </x:c>
      <x:c r="Z20" s="186" t="n">
        <x:v>50</x:v>
      </x:c>
      <x:c r="AA20" s="186" t="n">
        <x:v>40</x:v>
      </x:c>
      <x:c r="AB20" s="186" t="n">
        <x:v>50</x:v>
      </x:c>
      <x:c r="AC20" s="186" t="n">
        <x:v>40</x:v>
      </x:c>
      <x:c r="AD20" s="186" t="n">
        <x:v>40</x:v>
      </x:c>
      <x:c r="AE20" s="186" t="n">
        <x:v>50</x:v>
      </x:c>
      <x:c r="AF20" s="186" t="n">
        <x:v>40</x:v>
      </x:c>
      <x:c r="AG20" s="186" t="n">
        <x:v>40</x:v>
      </x:c>
      <x:c r="AH20" s="186" t="n">
        <x:v>45</x:v>
      </x:c>
      <x:c r="AI20" s="188" t="n">
        <x:f>SUM(D20:AH20)</x:f>
        <x:v>970</x:v>
      </x:c>
      <x:c r="AJ20" s="196" t="n">
        <x:f>D20*'Daftar Produk &amp; Harga'!$C$4+E20*'Daftar Produk &amp; Harga'!$C$5+F20*'Daftar Produk &amp; Harga'!$C$6+G20*'Daftar Produk &amp; Harga'!$C$7+H20*'Daftar Produk &amp; Harga'!$C$8+I20*'Daftar Produk &amp; Harga'!$C$9+J20*'Daftar Produk &amp; Harga'!$C$10+K20*'Daftar Produk &amp; Harga'!$C$11+L20*'Daftar Produk &amp; Harga'!$C$12+M20*'Daftar Produk &amp; Harga'!$C$13+N20*'Daftar Produk &amp; Harga'!$C$14+O20*'Daftar Produk &amp; Harga'!$C$15+P20*'Daftar Produk &amp; Harga'!$C$16+Q20*'Daftar Produk &amp; Harga'!$C$17+R20*'Daftar Produk &amp; Harga'!$C$18+S20*'Daftar Produk &amp; Harga'!$C$19+T20*'Daftar Produk &amp; Harga'!$C$20+U20*'Daftar Produk &amp; Harga'!$C$21+V20*'Daftar Produk &amp; Harga'!$C$22+W20*'Daftar Produk &amp; Harga'!$C$23+X20*'Daftar Produk &amp; Harga'!$C$24+Y20*'Daftar Produk &amp; Harga'!$C$25+Z20*'Daftar Produk &amp; Harga'!$C$26+AA20*'Daftar Produk &amp; Harga'!$C$27+AB20*'Daftar Produk &amp; Harga'!$C$28+AC20*'Daftar Produk &amp; Harga'!$C$29+AD20*'Daftar Produk &amp; Harga'!$C$30+AE20*'Daftar Produk &amp; Harga'!$C$31+AF20*'Daftar Produk &amp; Harga'!$C$32+AG20*'Daftar Produk &amp; Harga'!$C$33+AH20*'Daftar Produk &amp; Harga'!$C$34</x:f>
        <x:v>32010000</x:v>
      </x:c>
    </x:row>
    <x:row r="21" ht="18" customHeight="1">
      <x:c r="A21" s="178" t="n">
        <x:v>18</x:v>
      </x:c>
      <x:c r="B21" s="179" t="n">
        <x:v>46160</x:v>
      </x:c>
      <x:c r="C21" s="178" t="str">
        <x:v>Senin</x:v>
      </x:c>
      <x:c r="D21" s="184" t="n">
        <x:v>40</x:v>
      </x:c>
      <x:c r="E21" s="184" t="n">
        <x:v>0</x:v>
      </x:c>
      <x:c r="F21" s="184" t="n">
        <x:v>0</x:v>
      </x:c>
      <x:c r="G21" s="184" t="n">
        <x:v>0</x:v>
      </x:c>
      <x:c r="H21" s="184" t="n">
        <x:v>40</x:v>
      </x:c>
      <x:c r="I21" s="184" t="n">
        <x:v>0</x:v>
      </x:c>
      <x:c r="J21" s="184" t="n">
        <x:v>0</x:v>
      </x:c>
      <x:c r="K21" s="184" t="n">
        <x:v>40</x:v>
      </x:c>
      <x:c r="L21" s="184" t="n">
        <x:v>0</x:v>
      </x:c>
      <x:c r="M21" s="184" t="n">
        <x:v>0</x:v>
      </x:c>
      <x:c r="N21" s="186" t="n">
        <x:v>30</x:v>
      </x:c>
      <x:c r="O21" s="186" t="n">
        <x:v>35</x:v>
      </x:c>
      <x:c r="P21" s="186" t="n">
        <x:v>30</x:v>
      </x:c>
      <x:c r="Q21" s="186" t="n">
        <x:v>40</x:v>
      </x:c>
      <x:c r="R21" s="186" t="n">
        <x:v>40</x:v>
      </x:c>
      <x:c r="S21" s="186" t="n">
        <x:v>40</x:v>
      </x:c>
      <x:c r="T21" s="186" t="n">
        <x:v>30</x:v>
      </x:c>
      <x:c r="U21" s="186" t="n">
        <x:v>30</x:v>
      </x:c>
      <x:c r="V21" s="186" t="n">
        <x:v>35</x:v>
      </x:c>
      <x:c r="W21" s="186" t="n">
        <x:v>30</x:v>
      </x:c>
      <x:c r="X21" s="186" t="n">
        <x:v>30</x:v>
      </x:c>
      <x:c r="Y21" s="186" t="n">
        <x:v>30</x:v>
      </x:c>
      <x:c r="Z21" s="186" t="n">
        <x:v>35</x:v>
      </x:c>
      <x:c r="AA21" s="186" t="n">
        <x:v>35</x:v>
      </x:c>
      <x:c r="AB21" s="186" t="n">
        <x:v>30</x:v>
      </x:c>
      <x:c r="AC21" s="186" t="n">
        <x:v>40</x:v>
      </x:c>
      <x:c r="AD21" s="186" t="n">
        <x:v>30</x:v>
      </x:c>
      <x:c r="AE21" s="186" t="n">
        <x:v>30</x:v>
      </x:c>
      <x:c r="AF21" s="186" t="n">
        <x:v>40</x:v>
      </x:c>
      <x:c r="AG21" s="186" t="n">
        <x:v>35</x:v>
      </x:c>
      <x:c r="AH21" s="186" t="n">
        <x:v>30</x:v>
      </x:c>
      <x:c r="AI21" s="188" t="n">
        <x:f>SUM(D21:AH21)</x:f>
        <x:v>825</x:v>
      </x:c>
      <x:c r="AJ21" s="196" t="n">
        <x:f>D21*'Daftar Produk &amp; Harga'!$C$4+E21*'Daftar Produk &amp; Harga'!$C$5+F21*'Daftar Produk &amp; Harga'!$C$6+G21*'Daftar Produk &amp; Harga'!$C$7+H21*'Daftar Produk &amp; Harga'!$C$8+I21*'Daftar Produk &amp; Harga'!$C$9+J21*'Daftar Produk &amp; Harga'!$C$10+K21*'Daftar Produk &amp; Harga'!$C$11+L21*'Daftar Produk &amp; Harga'!$C$12+M21*'Daftar Produk &amp; Harga'!$C$13+N21*'Daftar Produk &amp; Harga'!$C$14+O21*'Daftar Produk &amp; Harga'!$C$15+P21*'Daftar Produk &amp; Harga'!$C$16+Q21*'Daftar Produk &amp; Harga'!$C$17+R21*'Daftar Produk &amp; Harga'!$C$18+S21*'Daftar Produk &amp; Harga'!$C$19+T21*'Daftar Produk &amp; Harga'!$C$20+U21*'Daftar Produk &amp; Harga'!$C$21+V21*'Daftar Produk &amp; Harga'!$C$22+W21*'Daftar Produk &amp; Harga'!$C$23+X21*'Daftar Produk &amp; Harga'!$C$24+Y21*'Daftar Produk &amp; Harga'!$C$25+Z21*'Daftar Produk &amp; Harga'!$C$26+AA21*'Daftar Produk &amp; Harga'!$C$27+AB21*'Daftar Produk &amp; Harga'!$C$28+AC21*'Daftar Produk &amp; Harga'!$C$29+AD21*'Daftar Produk &amp; Harga'!$C$30+AE21*'Daftar Produk &amp; Harga'!$C$31+AF21*'Daftar Produk &amp; Harga'!$C$32+AG21*'Daftar Produk &amp; Harga'!$C$33+AH21*'Daftar Produk &amp; Harga'!$C$34</x:f>
        <x:v>27375000</x:v>
      </x:c>
    </x:row>
    <x:row r="22" ht="18" customHeight="1">
      <x:c r="A22" s="178" t="n">
        <x:v>19</x:v>
      </x:c>
      <x:c r="B22" s="179" t="n">
        <x:v>46161</x:v>
      </x:c>
      <x:c r="C22" s="178" t="str">
        <x:v>Selasa</x:v>
      </x:c>
      <x:c r="D22" s="184" t="n">
        <x:v>0</x:v>
      </x:c>
      <x:c r="E22" s="184" t="n">
        <x:v>0</x:v>
      </x:c>
      <x:c r="F22" s="184" t="n">
        <x:v>0</x:v>
      </x:c>
      <x:c r="G22" s="184" t="n">
        <x:v>0</x:v>
      </x:c>
      <x:c r="H22" s="184" t="n">
        <x:v>40</x:v>
      </x:c>
      <x:c r="I22" s="184" t="n">
        <x:v>0</x:v>
      </x:c>
      <x:c r="J22" s="184" t="n">
        <x:v>0</x:v>
      </x:c>
      <x:c r="K22" s="184" t="n">
        <x:v>50</x:v>
      </x:c>
      <x:c r="L22" s="184" t="n">
        <x:v>0</x:v>
      </x:c>
      <x:c r="M22" s="184" t="n">
        <x:v>80</x:v>
      </x:c>
      <x:c r="N22" s="186" t="n">
        <x:v>30</x:v>
      </x:c>
      <x:c r="O22" s="186" t="n">
        <x:v>40</x:v>
      </x:c>
      <x:c r="P22" s="186" t="n">
        <x:v>30</x:v>
      </x:c>
      <x:c r="Q22" s="186" t="n">
        <x:v>35</x:v>
      </x:c>
      <x:c r="R22" s="186" t="n">
        <x:v>35</x:v>
      </x:c>
      <x:c r="S22" s="186" t="n">
        <x:v>40</x:v>
      </x:c>
      <x:c r="T22" s="186" t="n">
        <x:v>40</x:v>
      </x:c>
      <x:c r="U22" s="186" t="n">
        <x:v>30</x:v>
      </x:c>
      <x:c r="V22" s="186" t="n">
        <x:v>40</x:v>
      </x:c>
      <x:c r="W22" s="186" t="n">
        <x:v>30</x:v>
      </x:c>
      <x:c r="X22" s="186" t="n">
        <x:v>40</x:v>
      </x:c>
      <x:c r="Y22" s="186" t="n">
        <x:v>30</x:v>
      </x:c>
      <x:c r="Z22" s="186" t="n">
        <x:v>35</x:v>
      </x:c>
      <x:c r="AA22" s="186" t="n">
        <x:v>40</x:v>
      </x:c>
      <x:c r="AB22" s="186" t="n">
        <x:v>35</x:v>
      </x:c>
      <x:c r="AC22" s="186" t="n">
        <x:v>30</x:v>
      </x:c>
      <x:c r="AD22" s="186" t="n">
        <x:v>30</x:v>
      </x:c>
      <x:c r="AE22" s="186" t="n">
        <x:v>40</x:v>
      </x:c>
      <x:c r="AF22" s="186" t="n">
        <x:v>35</x:v>
      </x:c>
      <x:c r="AG22" s="186" t="n">
        <x:v>40</x:v>
      </x:c>
      <x:c r="AH22" s="186" t="n">
        <x:v>35</x:v>
      </x:c>
      <x:c r="AI22" s="188" t="n">
        <x:f>SUM(D22:AH22)</x:f>
        <x:v>910</x:v>
      </x:c>
      <x:c r="AJ22" s="196" t="n">
        <x:f>D22*'Daftar Produk &amp; Harga'!$C$4+E22*'Daftar Produk &amp; Harga'!$C$5+F22*'Daftar Produk &amp; Harga'!$C$6+G22*'Daftar Produk &amp; Harga'!$C$7+H22*'Daftar Produk &amp; Harga'!$C$8+I22*'Daftar Produk &amp; Harga'!$C$9+J22*'Daftar Produk &amp; Harga'!$C$10+K22*'Daftar Produk &amp; Harga'!$C$11+L22*'Daftar Produk &amp; Harga'!$C$12+M22*'Daftar Produk &amp; Harga'!$C$13+N22*'Daftar Produk &amp; Harga'!$C$14+O22*'Daftar Produk &amp; Harga'!$C$15+P22*'Daftar Produk &amp; Harga'!$C$16+Q22*'Daftar Produk &amp; Harga'!$C$17+R22*'Daftar Produk &amp; Harga'!$C$18+S22*'Daftar Produk &amp; Harga'!$C$19+T22*'Daftar Produk &amp; Harga'!$C$20+U22*'Daftar Produk &amp; Harga'!$C$21+V22*'Daftar Produk &amp; Harga'!$C$22+W22*'Daftar Produk &amp; Harga'!$C$23+X22*'Daftar Produk &amp; Harga'!$C$24+Y22*'Daftar Produk &amp; Harga'!$C$25+Z22*'Daftar Produk &amp; Harga'!$C$26+AA22*'Daftar Produk &amp; Harga'!$C$27+AB22*'Daftar Produk &amp; Harga'!$C$28+AC22*'Daftar Produk &amp; Harga'!$C$29+AD22*'Daftar Produk &amp; Harga'!$C$30+AE22*'Daftar Produk &amp; Harga'!$C$31+AF22*'Daftar Produk &amp; Harga'!$C$32+AG22*'Daftar Produk &amp; Harga'!$C$33+AH22*'Daftar Produk &amp; Harga'!$C$34</x:f>
        <x:v>31030000</x:v>
      </x:c>
    </x:row>
    <x:row r="23" ht="18" customHeight="1">
      <x:c r="A23" s="178" t="n">
        <x:v>20</x:v>
      </x:c>
      <x:c r="B23" s="179" t="n">
        <x:v>46162</x:v>
      </x:c>
      <x:c r="C23" s="178" t="str">
        <x:v>Rabu</x:v>
      </x:c>
      <x:c r="D23" s="184" t="n">
        <x:v>60</x:v>
      </x:c>
      <x:c r="E23" s="184" t="n">
        <x:v>0</x:v>
      </x:c>
      <x:c r="F23" s="184" t="n">
        <x:v>0</x:v>
      </x:c>
      <x:c r="G23" s="184" t="n">
        <x:v>0</x:v>
      </x:c>
      <x:c r="H23" s="184" t="n">
        <x:v>40</x:v>
      </x:c>
      <x:c r="I23" s="184" t="n">
        <x:v>50</x:v>
      </x:c>
      <x:c r="J23" s="184" t="n">
        <x:v>0</x:v>
      </x:c>
      <x:c r="K23" s="184" t="n">
        <x:v>60</x:v>
      </x:c>
      <x:c r="L23" s="184" t="n">
        <x:v>70</x:v>
      </x:c>
      <x:c r="M23" s="184" t="n">
        <x:v>80</x:v>
      </x:c>
      <x:c r="N23" s="186" t="n">
        <x:v>30</x:v>
      </x:c>
      <x:c r="O23" s="186" t="n">
        <x:v>40</x:v>
      </x:c>
      <x:c r="P23" s="186" t="n">
        <x:v>40</x:v>
      </x:c>
      <x:c r="Q23" s="186" t="n">
        <x:v>35</x:v>
      </x:c>
      <x:c r="R23" s="186" t="n">
        <x:v>30</x:v>
      </x:c>
      <x:c r="S23" s="186" t="n">
        <x:v>40</x:v>
      </x:c>
      <x:c r="T23" s="186" t="n">
        <x:v>40</x:v>
      </x:c>
      <x:c r="U23" s="186" t="n">
        <x:v>30</x:v>
      </x:c>
      <x:c r="V23" s="186" t="n">
        <x:v>40</x:v>
      </x:c>
      <x:c r="W23" s="186" t="n">
        <x:v>40</x:v>
      </x:c>
      <x:c r="X23" s="186" t="n">
        <x:v>35</x:v>
      </x:c>
      <x:c r="Y23" s="186" t="n">
        <x:v>30</x:v>
      </x:c>
      <x:c r="Z23" s="186" t="n">
        <x:v>30</x:v>
      </x:c>
      <x:c r="AA23" s="186" t="n">
        <x:v>35</x:v>
      </x:c>
      <x:c r="AB23" s="186" t="n">
        <x:v>40</x:v>
      </x:c>
      <x:c r="AC23" s="186" t="n">
        <x:v>35</x:v>
      </x:c>
      <x:c r="AD23" s="186" t="n">
        <x:v>40</x:v>
      </x:c>
      <x:c r="AE23" s="186" t="n">
        <x:v>40</x:v>
      </x:c>
      <x:c r="AF23" s="186" t="n">
        <x:v>40</x:v>
      </x:c>
      <x:c r="AG23" s="186" t="n">
        <x:v>35</x:v>
      </x:c>
      <x:c r="AH23" s="186" t="n">
        <x:v>30</x:v>
      </x:c>
      <x:c r="AI23" s="188" t="n">
        <x:f>SUM(D23:AH23)</x:f>
        <x:v>1115</x:v>
      </x:c>
      <x:c r="AJ23" s="196" t="n">
        <x:f>D23*'Daftar Produk &amp; Harga'!$C$4+E23*'Daftar Produk &amp; Harga'!$C$5+F23*'Daftar Produk &amp; Harga'!$C$6+G23*'Daftar Produk &amp; Harga'!$C$7+H23*'Daftar Produk &amp; Harga'!$C$8+I23*'Daftar Produk &amp; Harga'!$C$9+J23*'Daftar Produk &amp; Harga'!$C$10+K23*'Daftar Produk &amp; Harga'!$C$11+L23*'Daftar Produk &amp; Harga'!$C$12+M23*'Daftar Produk &amp; Harga'!$C$13+N23*'Daftar Produk &amp; Harga'!$C$14+O23*'Daftar Produk &amp; Harga'!$C$15+P23*'Daftar Produk &amp; Harga'!$C$16+Q23*'Daftar Produk &amp; Harga'!$C$17+R23*'Daftar Produk &amp; Harga'!$C$18+S23*'Daftar Produk &amp; Harga'!$C$19+T23*'Daftar Produk &amp; Harga'!$C$20+U23*'Daftar Produk &amp; Harga'!$C$21+V23*'Daftar Produk &amp; Harga'!$C$22+W23*'Daftar Produk &amp; Harga'!$C$23+X23*'Daftar Produk &amp; Harga'!$C$24+Y23*'Daftar Produk &amp; Harga'!$C$25+Z23*'Daftar Produk &amp; Harga'!$C$26+AA23*'Daftar Produk &amp; Harga'!$C$27+AB23*'Daftar Produk &amp; Harga'!$C$28+AC23*'Daftar Produk &amp; Harga'!$C$29+AD23*'Daftar Produk &amp; Harga'!$C$30+AE23*'Daftar Produk &amp; Harga'!$C$31+AF23*'Daftar Produk &amp; Harga'!$C$32+AG23*'Daftar Produk &amp; Harga'!$C$33+AH23*'Daftar Produk &amp; Harga'!$C$34</x:f>
        <x:v>37960000</x:v>
      </x:c>
    </x:row>
    <x:row r="24" ht="18" customHeight="1">
      <x:c r="A24" s="178" t="n">
        <x:v>21</x:v>
      </x:c>
      <x:c r="B24" s="179" t="n">
        <x:v>46163</x:v>
      </x:c>
      <x:c r="C24" s="178" t="str">
        <x:v>Kamis</x:v>
      </x:c>
      <x:c r="D24" s="184" t="n">
        <x:v>60</x:v>
      </x:c>
      <x:c r="E24" s="184" t="n">
        <x:v>70</x:v>
      </x:c>
      <x:c r="F24" s="184" t="n">
        <x:v>80</x:v>
      </x:c>
      <x:c r="G24" s="184" t="n">
        <x:v>0</x:v>
      </x:c>
      <x:c r="H24" s="184" t="n">
        <x:v>50</x:v>
      </x:c>
      <x:c r="I24" s="184" t="n">
        <x:v>50</x:v>
      </x:c>
      <x:c r="J24" s="184" t="n">
        <x:v>60</x:v>
      </x:c>
      <x:c r="K24" s="184" t="n">
        <x:v>60</x:v>
      </x:c>
      <x:c r="L24" s="184" t="n">
        <x:v>70</x:v>
      </x:c>
      <x:c r="M24" s="184" t="n">
        <x:v>80</x:v>
      </x:c>
      <x:c r="N24" s="186" t="n">
        <x:v>35</x:v>
      </x:c>
      <x:c r="O24" s="186" t="n">
        <x:v>40</x:v>
      </x:c>
      <x:c r="P24" s="186" t="n">
        <x:v>30</x:v>
      </x:c>
      <x:c r="Q24" s="186" t="n">
        <x:v>35</x:v>
      </x:c>
      <x:c r="R24" s="186" t="n">
        <x:v>30</x:v>
      </x:c>
      <x:c r="S24" s="186" t="n">
        <x:v>40</x:v>
      </x:c>
      <x:c r="T24" s="186" t="n">
        <x:v>35</x:v>
      </x:c>
      <x:c r="U24" s="186" t="n">
        <x:v>40</x:v>
      </x:c>
      <x:c r="V24" s="186" t="n">
        <x:v>35</x:v>
      </x:c>
      <x:c r="W24" s="186" t="n">
        <x:v>30</x:v>
      </x:c>
      <x:c r="X24" s="186" t="n">
        <x:v>30</x:v>
      </x:c>
      <x:c r="Y24" s="186" t="n">
        <x:v>40</x:v>
      </x:c>
      <x:c r="Z24" s="186" t="n">
        <x:v>30</x:v>
      </x:c>
      <x:c r="AA24" s="186" t="n">
        <x:v>35</x:v>
      </x:c>
      <x:c r="AB24" s="186" t="n">
        <x:v>30</x:v>
      </x:c>
      <x:c r="AC24" s="186" t="n">
        <x:v>30</x:v>
      </x:c>
      <x:c r="AD24" s="186" t="n">
        <x:v>40</x:v>
      </x:c>
      <x:c r="AE24" s="186" t="n">
        <x:v>35</x:v>
      </x:c>
      <x:c r="AF24" s="186" t="n">
        <x:v>30</x:v>
      </x:c>
      <x:c r="AG24" s="186" t="n">
        <x:v>40</x:v>
      </x:c>
      <x:c r="AH24" s="186" t="n">
        <x:v>35</x:v>
      </x:c>
      <x:c r="AI24" s="188" t="n">
        <x:f>SUM(D24:AH24)</x:f>
        <x:v>1305</x:v>
      </x:c>
      <x:c r="AJ24" s="196" t="n">
        <x:f>D24*'Daftar Produk &amp; Harga'!$C$4+E24*'Daftar Produk &amp; Harga'!$C$5+F24*'Daftar Produk &amp; Harga'!$C$6+G24*'Daftar Produk &amp; Harga'!$C$7+H24*'Daftar Produk &amp; Harga'!$C$8+I24*'Daftar Produk &amp; Harga'!$C$9+J24*'Daftar Produk &amp; Harga'!$C$10+K24*'Daftar Produk &amp; Harga'!$C$11+L24*'Daftar Produk &amp; Harga'!$C$12+M24*'Daftar Produk &amp; Harga'!$C$13+N24*'Daftar Produk &amp; Harga'!$C$14+O24*'Daftar Produk &amp; Harga'!$C$15+P24*'Daftar Produk &amp; Harga'!$C$16+Q24*'Daftar Produk &amp; Harga'!$C$17+R24*'Daftar Produk &amp; Harga'!$C$18+S24*'Daftar Produk &amp; Harga'!$C$19+T24*'Daftar Produk &amp; Harga'!$C$20+U24*'Daftar Produk &amp; Harga'!$C$21+V24*'Daftar Produk &amp; Harga'!$C$22+W24*'Daftar Produk &amp; Harga'!$C$23+X24*'Daftar Produk &amp; Harga'!$C$24+Y24*'Daftar Produk &amp; Harga'!$C$25+Z24*'Daftar Produk &amp; Harga'!$C$26+AA24*'Daftar Produk &amp; Harga'!$C$27+AB24*'Daftar Produk &amp; Harga'!$C$28+AC24*'Daftar Produk &amp; Harga'!$C$29+AD24*'Daftar Produk &amp; Harga'!$C$30+AE24*'Daftar Produk &amp; Harga'!$C$31+AF24*'Daftar Produk &amp; Harga'!$C$32+AG24*'Daftar Produk &amp; Harga'!$C$33+AH24*'Daftar Produk &amp; Harga'!$C$34</x:f>
        <x:v>43160000</x:v>
      </x:c>
    </x:row>
    <x:row r="25" ht="18" customHeight="1">
      <x:c r="A25" s="178" t="n">
        <x:v>22</x:v>
      </x:c>
      <x:c r="B25" s="179" t="n">
        <x:v>46164</x:v>
      </x:c>
      <x:c r="C25" s="178" t="str">
        <x:v>Jumat</x:v>
      </x:c>
      <x:c r="D25" s="184" t="n">
        <x:v>60</x:v>
      </x:c>
      <x:c r="E25" s="184" t="n">
        <x:v>70</x:v>
      </x:c>
      <x:c r="F25" s="184" t="n">
        <x:v>80</x:v>
      </x:c>
      <x:c r="G25" s="184" t="n">
        <x:v>0</x:v>
      </x:c>
      <x:c r="H25" s="184" t="n">
        <x:v>50</x:v>
      </x:c>
      <x:c r="I25" s="184" t="n">
        <x:v>50</x:v>
      </x:c>
      <x:c r="J25" s="184" t="n">
        <x:v>60</x:v>
      </x:c>
      <x:c r="K25" s="184" t="n">
        <x:v>60</x:v>
      </x:c>
      <x:c r="L25" s="184" t="n">
        <x:v>80</x:v>
      </x:c>
      <x:c r="M25" s="184" t="n">
        <x:v>80</x:v>
      </x:c>
      <x:c r="N25" s="186" t="n">
        <x:v>40</x:v>
      </x:c>
      <x:c r="O25" s="186" t="n">
        <x:v>40</x:v>
      </x:c>
      <x:c r="P25" s="186" t="n">
        <x:v>35</x:v>
      </x:c>
      <x:c r="Q25" s="186" t="n">
        <x:v>30</x:v>
      </x:c>
      <x:c r="R25" s="186" t="n">
        <x:v>40</x:v>
      </x:c>
      <x:c r="S25" s="186" t="n">
        <x:v>30</x:v>
      </x:c>
      <x:c r="T25" s="186" t="n">
        <x:v>35</x:v>
      </x:c>
      <x:c r="U25" s="186" t="n">
        <x:v>40</x:v>
      </x:c>
      <x:c r="V25" s="186" t="n">
        <x:v>35</x:v>
      </x:c>
      <x:c r="W25" s="186" t="n">
        <x:v>35</x:v>
      </x:c>
      <x:c r="X25" s="186" t="n">
        <x:v>30</x:v>
      </x:c>
      <x:c r="Y25" s="186" t="n">
        <x:v>30</x:v>
      </x:c>
      <x:c r="Z25" s="186" t="n">
        <x:v>35</x:v>
      </x:c>
      <x:c r="AA25" s="186" t="n">
        <x:v>30</x:v>
      </x:c>
      <x:c r="AB25" s="186" t="n">
        <x:v>35</x:v>
      </x:c>
      <x:c r="AC25" s="186" t="n">
        <x:v>40</x:v>
      </x:c>
      <x:c r="AD25" s="186" t="n">
        <x:v>40</x:v>
      </x:c>
      <x:c r="AE25" s="186" t="n">
        <x:v>30</x:v>
      </x:c>
      <x:c r="AF25" s="186" t="n">
        <x:v>30</x:v>
      </x:c>
      <x:c r="AG25" s="186" t="n">
        <x:v>35</x:v>
      </x:c>
      <x:c r="AH25" s="186" t="n">
        <x:v>40</x:v>
      </x:c>
      <x:c r="AI25" s="188" t="n">
        <x:f>SUM(D25:AH25)</x:f>
        <x:v>1325</x:v>
      </x:c>
      <x:c r="AJ25" s="196" t="n">
        <x:f>D25*'Daftar Produk &amp; Harga'!$C$4+E25*'Daftar Produk &amp; Harga'!$C$5+F25*'Daftar Produk &amp; Harga'!$C$6+G25*'Daftar Produk &amp; Harga'!$C$7+H25*'Daftar Produk &amp; Harga'!$C$8+I25*'Daftar Produk &amp; Harga'!$C$9+J25*'Daftar Produk &amp; Harga'!$C$10+K25*'Daftar Produk &amp; Harga'!$C$11+L25*'Daftar Produk &amp; Harga'!$C$12+M25*'Daftar Produk &amp; Harga'!$C$13+N25*'Daftar Produk &amp; Harga'!$C$14+O25*'Daftar Produk &amp; Harga'!$C$15+P25*'Daftar Produk &amp; Harga'!$C$16+Q25*'Daftar Produk &amp; Harga'!$C$17+R25*'Daftar Produk &amp; Harga'!$C$18+S25*'Daftar Produk &amp; Harga'!$C$19+T25*'Daftar Produk &amp; Harga'!$C$20+U25*'Daftar Produk &amp; Harga'!$C$21+V25*'Daftar Produk &amp; Harga'!$C$22+W25*'Daftar Produk &amp; Harga'!$C$23+X25*'Daftar Produk &amp; Harga'!$C$24+Y25*'Daftar Produk &amp; Harga'!$C$25+Z25*'Daftar Produk &amp; Harga'!$C$26+AA25*'Daftar Produk &amp; Harga'!$C$27+AB25*'Daftar Produk &amp; Harga'!$C$28+AC25*'Daftar Produk &amp; Harga'!$C$29+AD25*'Daftar Produk &amp; Harga'!$C$30+AE25*'Daftar Produk &amp; Harga'!$C$31+AF25*'Daftar Produk &amp; Harga'!$C$32+AG25*'Daftar Produk &amp; Harga'!$C$33+AH25*'Daftar Produk &amp; Harga'!$C$34</x:f>
        <x:v>44215000</x:v>
      </x:c>
    </x:row>
    <x:row r="26" ht="18" customHeight="1">
      <x:c r="A26" s="178" t="n">
        <x:v>23</x:v>
      </x:c>
      <x:c r="B26" s="179" t="n">
        <x:v>46165</x:v>
      </x:c>
      <x:c r="C26" s="178" t="str">
        <x:v>Sabtu</x:v>
      </x:c>
      <x:c r="D26" s="184" t="n">
        <x:v>70</x:v>
      </x:c>
      <x:c r="E26" s="184" t="n">
        <x:v>80</x:v>
      </x:c>
      <x:c r="F26" s="184" t="n">
        <x:v>90</x:v>
      </x:c>
      <x:c r="G26" s="184" t="n">
        <x:v>0</x:v>
      </x:c>
      <x:c r="H26" s="184" t="n">
        <x:v>50</x:v>
      </x:c>
      <x:c r="I26" s="184" t="n">
        <x:v>50</x:v>
      </x:c>
      <x:c r="J26" s="184" t="n">
        <x:v>60</x:v>
      </x:c>
      <x:c r="K26" s="184" t="n">
        <x:v>70</x:v>
      </x:c>
      <x:c r="L26" s="184" t="n">
        <x:v>80</x:v>
      </x:c>
      <x:c r="M26" s="184" t="n">
        <x:v>80</x:v>
      </x:c>
      <x:c r="N26" s="186" t="n">
        <x:v>40</x:v>
      </x:c>
      <x:c r="O26" s="186" t="n">
        <x:v>50</x:v>
      </x:c>
      <x:c r="P26" s="186" t="n">
        <x:v>40</x:v>
      </x:c>
      <x:c r="Q26" s="186" t="n">
        <x:v>45</x:v>
      </x:c>
      <x:c r="R26" s="186" t="n">
        <x:v>35</x:v>
      </x:c>
      <x:c r="S26" s="186" t="n">
        <x:v>50</x:v>
      </x:c>
      <x:c r="T26" s="186" t="n">
        <x:v>45</x:v>
      </x:c>
      <x:c r="U26" s="186" t="n">
        <x:v>45</x:v>
      </x:c>
      <x:c r="V26" s="186" t="n">
        <x:v>45</x:v>
      </x:c>
      <x:c r="W26" s="186" t="n">
        <x:v>40</x:v>
      </x:c>
      <x:c r="X26" s="186" t="n">
        <x:v>35</x:v>
      </x:c>
      <x:c r="Y26" s="186" t="n">
        <x:v>40</x:v>
      </x:c>
      <x:c r="Z26" s="186" t="n">
        <x:v>45</x:v>
      </x:c>
      <x:c r="AA26" s="186" t="n">
        <x:v>35</x:v>
      </x:c>
      <x:c r="AB26" s="186" t="n">
        <x:v>35</x:v>
      </x:c>
      <x:c r="AC26" s="186" t="n">
        <x:v>45</x:v>
      </x:c>
      <x:c r="AD26" s="186" t="n">
        <x:v>40</x:v>
      </x:c>
      <x:c r="AE26" s="186" t="n">
        <x:v>40</x:v>
      </x:c>
      <x:c r="AF26" s="186" t="n">
        <x:v>35</x:v>
      </x:c>
      <x:c r="AG26" s="186" t="n">
        <x:v>40</x:v>
      </x:c>
      <x:c r="AH26" s="186" t="n">
        <x:v>45</x:v>
      </x:c>
      <x:c r="AI26" s="188" t="n">
        <x:f>SUM(D26:AH26)</x:f>
        <x:v>1500</x:v>
      </x:c>
      <x:c r="AJ26" s="196" t="n">
        <x:f>D26*'Daftar Produk &amp; Harga'!$C$4+E26*'Daftar Produk &amp; Harga'!$C$5+F26*'Daftar Produk &amp; Harga'!$C$6+G26*'Daftar Produk &amp; Harga'!$C$7+H26*'Daftar Produk &amp; Harga'!$C$8+I26*'Daftar Produk &amp; Harga'!$C$9+J26*'Daftar Produk &amp; Harga'!$C$10+K26*'Daftar Produk &amp; Harga'!$C$11+L26*'Daftar Produk &amp; Harga'!$C$12+M26*'Daftar Produk &amp; Harga'!$C$13+N26*'Daftar Produk &amp; Harga'!$C$14+O26*'Daftar Produk &amp; Harga'!$C$15+P26*'Daftar Produk &amp; Harga'!$C$16+Q26*'Daftar Produk &amp; Harga'!$C$17+R26*'Daftar Produk &amp; Harga'!$C$18+S26*'Daftar Produk &amp; Harga'!$C$19+T26*'Daftar Produk &amp; Harga'!$C$20+U26*'Daftar Produk &amp; Harga'!$C$21+V26*'Daftar Produk &amp; Harga'!$C$22+W26*'Daftar Produk &amp; Harga'!$C$23+X26*'Daftar Produk &amp; Harga'!$C$24+Y26*'Daftar Produk &amp; Harga'!$C$25+Z26*'Daftar Produk &amp; Harga'!$C$26+AA26*'Daftar Produk &amp; Harga'!$C$27+AB26*'Daftar Produk &amp; Harga'!$C$28+AC26*'Daftar Produk &amp; Harga'!$C$29+AD26*'Daftar Produk &amp; Harga'!$C$30+AE26*'Daftar Produk &amp; Harga'!$C$31+AF26*'Daftar Produk &amp; Harga'!$C$32+AG26*'Daftar Produk &amp; Harga'!$C$33+AH26*'Daftar Produk &amp; Harga'!$C$34</x:f>
        <x:v>49905000</x:v>
      </x:c>
    </x:row>
    <x:row r="27" ht="18" customHeight="1">
      <x:c r="A27" s="178" t="n">
        <x:v>24</x:v>
      </x:c>
      <x:c r="B27" s="179" t="n">
        <x:v>46166</x:v>
      </x:c>
      <x:c r="C27" s="178" t="str">
        <x:v>Minggu</x:v>
      </x:c>
      <x:c r="D27" s="184" t="n">
        <x:v>0</x:v>
      </x:c>
      <x:c r="E27" s="184" t="n">
        <x:v>0</x:v>
      </x:c>
      <x:c r="F27" s="184" t="n">
        <x:v>0</x:v>
      </x:c>
      <x:c r="G27" s="184" t="n">
        <x:v>0</x:v>
      </x:c>
      <x:c r="H27" s="184" t="n">
        <x:v>0</x:v>
      </x:c>
      <x:c r="I27" s="184" t="n">
        <x:v>0</x:v>
      </x:c>
      <x:c r="J27" s="184" t="n">
        <x:v>0</x:v>
      </x:c>
      <x:c r="K27" s="184" t="n">
        <x:v>0</x:v>
      </x:c>
      <x:c r="L27" s="184" t="n">
        <x:v>0</x:v>
      </x:c>
      <x:c r="M27" s="184" t="n">
        <x:v>0</x:v>
      </x:c>
      <x:c r="N27" s="186" t="n">
        <x:v>50</x:v>
      </x:c>
      <x:c r="O27" s="186" t="n">
        <x:v>45</x:v>
      </x:c>
      <x:c r="P27" s="186" t="n">
        <x:v>40</x:v>
      </x:c>
      <x:c r="Q27" s="186" t="n">
        <x:v>45</x:v>
      </x:c>
      <x:c r="R27" s="186" t="n">
        <x:v>45</x:v>
      </x:c>
      <x:c r="S27" s="186" t="n">
        <x:v>35</x:v>
      </x:c>
      <x:c r="T27" s="186" t="n">
        <x:v>50</x:v>
      </x:c>
      <x:c r="U27" s="186" t="n">
        <x:v>45</x:v>
      </x:c>
      <x:c r="V27" s="186" t="n">
        <x:v>40</x:v>
      </x:c>
      <x:c r="W27" s="186" t="n">
        <x:v>40</x:v>
      </x:c>
      <x:c r="X27" s="186" t="n">
        <x:v>50</x:v>
      </x:c>
      <x:c r="Y27" s="186" t="n">
        <x:v>50</x:v>
      </x:c>
      <x:c r="Z27" s="186" t="n">
        <x:v>35</x:v>
      </x:c>
      <x:c r="AA27" s="186" t="n">
        <x:v>40</x:v>
      </x:c>
      <x:c r="AB27" s="186" t="n">
        <x:v>45</x:v>
      </x:c>
      <x:c r="AC27" s="186" t="n">
        <x:v>45</x:v>
      </x:c>
      <x:c r="AD27" s="186" t="n">
        <x:v>45</x:v>
      </x:c>
      <x:c r="AE27" s="186" t="n">
        <x:v>35</x:v>
      </x:c>
      <x:c r="AF27" s="186" t="n">
        <x:v>45</x:v>
      </x:c>
      <x:c r="AG27" s="186" t="n">
        <x:v>40</x:v>
      </x:c>
      <x:c r="AH27" s="186" t="n">
        <x:v>45</x:v>
      </x:c>
      <x:c r="AI27" s="188" t="n">
        <x:f>SUM(D27:AH27)</x:f>
        <x:v>910</x:v>
      </x:c>
      <x:c r="AJ27" s="196" t="n">
        <x:f>D27*'Daftar Produk &amp; Harga'!$C$4+E27*'Daftar Produk &amp; Harga'!$C$5+F27*'Daftar Produk &amp; Harga'!$C$6+G27*'Daftar Produk &amp; Harga'!$C$7+H27*'Daftar Produk &amp; Harga'!$C$8+I27*'Daftar Produk &amp; Harga'!$C$9+J27*'Daftar Produk &amp; Harga'!$C$10+K27*'Daftar Produk &amp; Harga'!$C$11+L27*'Daftar Produk &amp; Harga'!$C$12+M27*'Daftar Produk &amp; Harga'!$C$13+N27*'Daftar Produk &amp; Harga'!$C$14+O27*'Daftar Produk &amp; Harga'!$C$15+P27*'Daftar Produk &amp; Harga'!$C$16+Q27*'Daftar Produk &amp; Harga'!$C$17+R27*'Daftar Produk &amp; Harga'!$C$18+S27*'Daftar Produk &amp; Harga'!$C$19+T27*'Daftar Produk &amp; Harga'!$C$20+U27*'Daftar Produk &amp; Harga'!$C$21+V27*'Daftar Produk &amp; Harga'!$C$22+W27*'Daftar Produk &amp; Harga'!$C$23+X27*'Daftar Produk &amp; Harga'!$C$24+Y27*'Daftar Produk &amp; Harga'!$C$25+Z27*'Daftar Produk &amp; Harga'!$C$26+AA27*'Daftar Produk &amp; Harga'!$C$27+AB27*'Daftar Produk &amp; Harga'!$C$28+AC27*'Daftar Produk &amp; Harga'!$C$29+AD27*'Daftar Produk &amp; Harga'!$C$30+AE27*'Daftar Produk &amp; Harga'!$C$31+AF27*'Daftar Produk &amp; Harga'!$C$32+AG27*'Daftar Produk &amp; Harga'!$C$33+AH27*'Daftar Produk &amp; Harga'!$C$34</x:f>
        <x:v>29665000</x:v>
      </x:c>
    </x:row>
    <x:row r="28" ht="18" customHeight="1">
      <x:c r="A28" s="178" t="n">
        <x:v>25</x:v>
      </x:c>
      <x:c r="B28" s="179" t="n">
        <x:v>46167</x:v>
      </x:c>
      <x:c r="C28" s="178" t="str">
        <x:v>Senin</x:v>
      </x:c>
      <x:c r="D28" s="184" t="n">
        <x:v>0</x:v>
      </x:c>
      <x:c r="E28" s="184" t="n">
        <x:v>0</x:v>
      </x:c>
      <x:c r="F28" s="184" t="n">
        <x:v>0</x:v>
      </x:c>
      <x:c r="G28" s="184" t="n">
        <x:v>0</x:v>
      </x:c>
      <x:c r="H28" s="184" t="n">
        <x:v>0</x:v>
      </x:c>
      <x:c r="I28" s="184" t="n">
        <x:v>0</x:v>
      </x:c>
      <x:c r="J28" s="184" t="n">
        <x:v>0</x:v>
      </x:c>
      <x:c r="K28" s="184" t="n">
        <x:v>0</x:v>
      </x:c>
      <x:c r="L28" s="184" t="n">
        <x:v>0</x:v>
      </x:c>
      <x:c r="M28" s="184" t="n">
        <x:v>0</x:v>
      </x:c>
      <x:c r="N28" s="186" t="n">
        <x:v>35</x:v>
      </x:c>
      <x:c r="O28" s="186" t="n">
        <x:v>30</x:v>
      </x:c>
      <x:c r="P28" s="186" t="n">
        <x:v>30</x:v>
      </x:c>
      <x:c r="Q28" s="186" t="n">
        <x:v>30</x:v>
      </x:c>
      <x:c r="R28" s="186" t="n">
        <x:v>35</x:v>
      </x:c>
      <x:c r="S28" s="186" t="n">
        <x:v>30</x:v>
      </x:c>
      <x:c r="T28" s="186" t="n">
        <x:v>35</x:v>
      </x:c>
      <x:c r="U28" s="186" t="n">
        <x:v>35</x:v>
      </x:c>
      <x:c r="V28" s="186" t="n">
        <x:v>30</x:v>
      </x:c>
      <x:c r="W28" s="186" t="n">
        <x:v>35</x:v>
      </x:c>
      <x:c r="X28" s="186" t="n">
        <x:v>40</x:v>
      </x:c>
      <x:c r="Y28" s="186" t="n">
        <x:v>35</x:v>
      </x:c>
      <x:c r="Z28" s="186" t="n">
        <x:v>35</x:v>
      </x:c>
      <x:c r="AA28" s="186" t="n">
        <x:v>30</x:v>
      </x:c>
      <x:c r="AB28" s="186" t="n">
        <x:v>30</x:v>
      </x:c>
      <x:c r="AC28" s="186" t="n">
        <x:v>30</x:v>
      </x:c>
      <x:c r="AD28" s="186" t="n">
        <x:v>40</x:v>
      </x:c>
      <x:c r="AE28" s="186" t="n">
        <x:v>30</x:v>
      </x:c>
      <x:c r="AF28" s="186" t="n">
        <x:v>35</x:v>
      </x:c>
      <x:c r="AG28" s="186" t="n">
        <x:v>40</x:v>
      </x:c>
      <x:c r="AH28" s="186" t="n">
        <x:v>30</x:v>
      </x:c>
      <x:c r="AI28" s="188" t="n">
        <x:f>SUM(D28:AH28)</x:f>
        <x:v>700</x:v>
      </x:c>
      <x:c r="AJ28" s="196" t="n">
        <x:f>D28*'Daftar Produk &amp; Harga'!$C$4+E28*'Daftar Produk &amp; Harga'!$C$5+F28*'Daftar Produk &amp; Harga'!$C$6+G28*'Daftar Produk &amp; Harga'!$C$7+H28*'Daftar Produk &amp; Harga'!$C$8+I28*'Daftar Produk &amp; Harga'!$C$9+J28*'Daftar Produk &amp; Harga'!$C$10+K28*'Daftar Produk &amp; Harga'!$C$11+L28*'Daftar Produk &amp; Harga'!$C$12+M28*'Daftar Produk &amp; Harga'!$C$13+N28*'Daftar Produk &amp; Harga'!$C$14+O28*'Daftar Produk &amp; Harga'!$C$15+P28*'Daftar Produk &amp; Harga'!$C$16+Q28*'Daftar Produk &amp; Harga'!$C$17+R28*'Daftar Produk &amp; Harga'!$C$18+S28*'Daftar Produk &amp; Harga'!$C$19+T28*'Daftar Produk &amp; Harga'!$C$20+U28*'Daftar Produk &amp; Harga'!$C$21+V28*'Daftar Produk &amp; Harga'!$C$22+W28*'Daftar Produk &amp; Harga'!$C$23+X28*'Daftar Produk &amp; Harga'!$C$24+Y28*'Daftar Produk &amp; Harga'!$C$25+Z28*'Daftar Produk &amp; Harga'!$C$26+AA28*'Daftar Produk &amp; Harga'!$C$27+AB28*'Daftar Produk &amp; Harga'!$C$28+AC28*'Daftar Produk &amp; Harga'!$C$29+AD28*'Daftar Produk &amp; Harga'!$C$30+AE28*'Daftar Produk &amp; Harga'!$C$31+AF28*'Daftar Produk &amp; Harga'!$C$32+AG28*'Daftar Produk &amp; Harga'!$C$33+AH28*'Daftar Produk &amp; Harga'!$C$34</x:f>
        <x:v>22740000</x:v>
      </x:c>
    </x:row>
    <x:row r="29" ht="18" customHeight="1">
      <x:c r="A29" s="178" t="n">
        <x:v>26</x:v>
      </x:c>
      <x:c r="B29" s="179" t="n">
        <x:v>46168</x:v>
      </x:c>
      <x:c r="C29" s="178" t="str">
        <x:v>Selasa</x:v>
      </x:c>
      <x:c r="D29" s="184" t="n">
        <x:v>0</x:v>
      </x:c>
      <x:c r="E29" s="184" t="n">
        <x:v>0</x:v>
      </x:c>
      <x:c r="F29" s="184" t="n">
        <x:v>0</x:v>
      </x:c>
      <x:c r="G29" s="184" t="n">
        <x:v>0</x:v>
      </x:c>
      <x:c r="H29" s="184" t="n">
        <x:v>0</x:v>
      </x:c>
      <x:c r="I29" s="184" t="n">
        <x:v>0</x:v>
      </x:c>
      <x:c r="J29" s="184" t="n">
        <x:v>0</x:v>
      </x:c>
      <x:c r="K29" s="184" t="n">
        <x:v>0</x:v>
      </x:c>
      <x:c r="L29" s="184" t="n">
        <x:v>0</x:v>
      </x:c>
      <x:c r="M29" s="184" t="n">
        <x:v>0</x:v>
      </x:c>
      <x:c r="N29" s="186" t="n">
        <x:v>30</x:v>
      </x:c>
      <x:c r="O29" s="186" t="n">
        <x:v>30</x:v>
      </x:c>
      <x:c r="P29" s="186" t="n">
        <x:v>40</x:v>
      </x:c>
      <x:c r="Q29" s="186" t="n">
        <x:v>30</x:v>
      </x:c>
      <x:c r="R29" s="186" t="n">
        <x:v>30</x:v>
      </x:c>
      <x:c r="S29" s="186" t="n">
        <x:v>40</x:v>
      </x:c>
      <x:c r="T29" s="186" t="n">
        <x:v>35</x:v>
      </x:c>
      <x:c r="U29" s="186" t="n">
        <x:v>35</x:v>
      </x:c>
      <x:c r="V29" s="186" t="n">
        <x:v>40</x:v>
      </x:c>
      <x:c r="W29" s="186" t="n">
        <x:v>30</x:v>
      </x:c>
      <x:c r="X29" s="186" t="n">
        <x:v>35</x:v>
      </x:c>
      <x:c r="Y29" s="186" t="n">
        <x:v>35</x:v>
      </x:c>
      <x:c r="Z29" s="186" t="n">
        <x:v>40</x:v>
      </x:c>
      <x:c r="AA29" s="186" t="n">
        <x:v>30</x:v>
      </x:c>
      <x:c r="AB29" s="186" t="n">
        <x:v>30</x:v>
      </x:c>
      <x:c r="AC29" s="186" t="n">
        <x:v>40</x:v>
      </x:c>
      <x:c r="AD29" s="186" t="n">
        <x:v>40</x:v>
      </x:c>
      <x:c r="AE29" s="186" t="n">
        <x:v>30</x:v>
      </x:c>
      <x:c r="AF29" s="186" t="n">
        <x:v>35</x:v>
      </x:c>
      <x:c r="AG29" s="186" t="n">
        <x:v>35</x:v>
      </x:c>
      <x:c r="AH29" s="186" t="n">
        <x:v>35</x:v>
      </x:c>
      <x:c r="AI29" s="188" t="n">
        <x:f>SUM(D29:AH29)</x:f>
        <x:v>725</x:v>
      </x:c>
      <x:c r="AJ29" s="196" t="n">
        <x:f>D29*'Daftar Produk &amp; Harga'!$C$4+E29*'Daftar Produk &amp; Harga'!$C$5+F29*'Daftar Produk &amp; Harga'!$C$6+G29*'Daftar Produk &amp; Harga'!$C$7+H29*'Daftar Produk &amp; Harga'!$C$8+I29*'Daftar Produk &amp; Harga'!$C$9+J29*'Daftar Produk &amp; Harga'!$C$10+K29*'Daftar Produk &amp; Harga'!$C$11+L29*'Daftar Produk &amp; Harga'!$C$12+M29*'Daftar Produk &amp; Harga'!$C$13+N29*'Daftar Produk &amp; Harga'!$C$14+O29*'Daftar Produk &amp; Harga'!$C$15+P29*'Daftar Produk &amp; Harga'!$C$16+Q29*'Daftar Produk &amp; Harga'!$C$17+R29*'Daftar Produk &amp; Harga'!$C$18+S29*'Daftar Produk &amp; Harga'!$C$19+T29*'Daftar Produk &amp; Harga'!$C$20+U29*'Daftar Produk &amp; Harga'!$C$21+V29*'Daftar Produk &amp; Harga'!$C$22+W29*'Daftar Produk &amp; Harga'!$C$23+X29*'Daftar Produk &amp; Harga'!$C$24+Y29*'Daftar Produk &amp; Harga'!$C$25+Z29*'Daftar Produk &amp; Harga'!$C$26+AA29*'Daftar Produk &amp; Harga'!$C$27+AB29*'Daftar Produk &amp; Harga'!$C$28+AC29*'Daftar Produk &amp; Harga'!$C$29+AD29*'Daftar Produk &amp; Harga'!$C$30+AE29*'Daftar Produk &amp; Harga'!$C$31+AF29*'Daftar Produk &amp; Harga'!$C$32+AG29*'Daftar Produk &amp; Harga'!$C$33+AH29*'Daftar Produk &amp; Harga'!$C$34</x:f>
        <x:v>23755000</x:v>
      </x:c>
    </x:row>
    <x:row r="30" ht="18" customHeight="1">
      <x:c r="A30" s="178" t="n">
        <x:v>27</x:v>
      </x:c>
      <x:c r="B30" s="179" t="n">
        <x:v>46169</x:v>
      </x:c>
      <x:c r="C30" s="178" t="str">
        <x:v>Rabu</x:v>
      </x:c>
      <x:c r="D30" s="184" t="n">
        <x:v>0</x:v>
      </x:c>
      <x:c r="E30" s="184" t="n">
        <x:v>0</x:v>
      </x:c>
      <x:c r="F30" s="184" t="n">
        <x:v>0</x:v>
      </x:c>
      <x:c r="G30" s="184" t="n">
        <x:v>0</x:v>
      </x:c>
      <x:c r="H30" s="184" t="n">
        <x:v>0</x:v>
      </x:c>
      <x:c r="I30" s="184" t="n">
        <x:v>0</x:v>
      </x:c>
      <x:c r="J30" s="184" t="n">
        <x:v>0</x:v>
      </x:c>
      <x:c r="K30" s="184" t="n">
        <x:v>0</x:v>
      </x:c>
      <x:c r="L30" s="184" t="n">
        <x:v>0</x:v>
      </x:c>
      <x:c r="M30" s="184" t="n">
        <x:v>0</x:v>
      </x:c>
      <x:c r="N30" s="186" t="n">
        <x:v>0</x:v>
      </x:c>
      <x:c r="O30" s="186" t="n">
        <x:v>0</x:v>
      </x:c>
      <x:c r="P30" s="186" t="n">
        <x:v>0</x:v>
      </x:c>
      <x:c r="Q30" s="186" t="n">
        <x:v>0</x:v>
      </x:c>
      <x:c r="R30" s="186" t="n">
        <x:v>0</x:v>
      </x:c>
      <x:c r="S30" s="186" t="n">
        <x:v>0</x:v>
      </x:c>
      <x:c r="T30" s="186" t="n">
        <x:v>0</x:v>
      </x:c>
      <x:c r="U30" s="186" t="n">
        <x:v>0</x:v>
      </x:c>
      <x:c r="V30" s="186" t="n">
        <x:v>0</x:v>
      </x:c>
      <x:c r="W30" s="186" t="n">
        <x:v>0</x:v>
      </x:c>
      <x:c r="X30" s="186" t="n">
        <x:v>0</x:v>
      </x:c>
      <x:c r="Y30" s="186" t="n">
        <x:v>0</x:v>
      </x:c>
      <x:c r="Z30" s="186" t="n">
        <x:v>0</x:v>
      </x:c>
      <x:c r="AA30" s="186" t="n">
        <x:v>0</x:v>
      </x:c>
      <x:c r="AB30" s="186" t="n">
        <x:v>0</x:v>
      </x:c>
      <x:c r="AC30" s="186" t="n">
        <x:v>0</x:v>
      </x:c>
      <x:c r="AD30" s="186" t="n">
        <x:v>0</x:v>
      </x:c>
      <x:c r="AE30" s="186" t="n">
        <x:v>0</x:v>
      </x:c>
      <x:c r="AF30" s="186" t="n">
        <x:v>0</x:v>
      </x:c>
      <x:c r="AG30" s="186" t="n">
        <x:v>0</x:v>
      </x:c>
      <x:c r="AH30" s="186" t="n">
        <x:v>0</x:v>
      </x:c>
      <x:c r="AI30" s="188" t="n">
        <x:f>SUM(D30:AH30)</x:f>
        <x:v>0</x:v>
      </x:c>
      <x:c r="AJ30" s="196" t="n">
        <x:f>D30*'Daftar Produk &amp; Harga'!$C$4+E30*'Daftar Produk &amp; Harga'!$C$5+F30*'Daftar Produk &amp; Harga'!$C$6+G30*'Daftar Produk &amp; Harga'!$C$7+H30*'Daftar Produk &amp; Harga'!$C$8+I30*'Daftar Produk &amp; Harga'!$C$9+J30*'Daftar Produk &amp; Harga'!$C$10+K30*'Daftar Produk &amp; Harga'!$C$11+L30*'Daftar Produk &amp; Harga'!$C$12+M30*'Daftar Produk &amp; Harga'!$C$13+N30*'Daftar Produk &amp; Harga'!$C$14+O30*'Daftar Produk &amp; Harga'!$C$15+P30*'Daftar Produk &amp; Harga'!$C$16+Q30*'Daftar Produk &amp; Harga'!$C$17+R30*'Daftar Produk &amp; Harga'!$C$18+S30*'Daftar Produk &amp; Harga'!$C$19+T30*'Daftar Produk &amp; Harga'!$C$20+U30*'Daftar Produk &amp; Harga'!$C$21+V30*'Daftar Produk &amp; Harga'!$C$22+W30*'Daftar Produk &amp; Harga'!$C$23+X30*'Daftar Produk &amp; Harga'!$C$24+Y30*'Daftar Produk &amp; Harga'!$C$25+Z30*'Daftar Produk &amp; Harga'!$C$26+AA30*'Daftar Produk &amp; Harga'!$C$27+AB30*'Daftar Produk &amp; Harga'!$C$28+AC30*'Daftar Produk &amp; Harga'!$C$29+AD30*'Daftar Produk &amp; Harga'!$C$30+AE30*'Daftar Produk &amp; Harga'!$C$31+AF30*'Daftar Produk &amp; Harga'!$C$32+AG30*'Daftar Produk &amp; Harga'!$C$33+AH30*'Daftar Produk &amp; Harga'!$C$34</x:f>
        <x:v>0</x:v>
      </x:c>
    </x:row>
    <x:row r="31" ht="18" customHeight="1">
      <x:c r="A31" s="178" t="n">
        <x:v>28</x:v>
      </x:c>
      <x:c r="B31" s="179" t="n">
        <x:v>46170</x:v>
      </x:c>
      <x:c r="C31" s="178" t="str">
        <x:v>Kamis</x:v>
      </x:c>
      <x:c r="D31" s="184" t="n">
        <x:v>0</x:v>
      </x:c>
      <x:c r="E31" s="184" t="n">
        <x:v>0</x:v>
      </x:c>
      <x:c r="F31" s="184" t="n">
        <x:v>0</x:v>
      </x:c>
      <x:c r="G31" s="184" t="n">
        <x:v>0</x:v>
      </x:c>
      <x:c r="H31" s="184" t="n">
        <x:v>0</x:v>
      </x:c>
      <x:c r="I31" s="184" t="n">
        <x:v>0</x:v>
      </x:c>
      <x:c r="J31" s="184" t="n">
        <x:v>0</x:v>
      </x:c>
      <x:c r="K31" s="184" t="n">
        <x:v>0</x:v>
      </x:c>
      <x:c r="L31" s="184" t="n">
        <x:v>0</x:v>
      </x:c>
      <x:c r="M31" s="184" t="n">
        <x:v>0</x:v>
      </x:c>
      <x:c r="N31" s="186" t="n">
        <x:v>0</x:v>
      </x:c>
      <x:c r="O31" s="186" t="n">
        <x:v>0</x:v>
      </x:c>
      <x:c r="P31" s="186" t="n">
        <x:v>0</x:v>
      </x:c>
      <x:c r="Q31" s="186" t="n">
        <x:v>0</x:v>
      </x:c>
      <x:c r="R31" s="186" t="n">
        <x:v>0</x:v>
      </x:c>
      <x:c r="S31" s="186" t="n">
        <x:v>0</x:v>
      </x:c>
      <x:c r="T31" s="186" t="n">
        <x:v>0</x:v>
      </x:c>
      <x:c r="U31" s="186" t="n">
        <x:v>0</x:v>
      </x:c>
      <x:c r="V31" s="186" t="n">
        <x:v>0</x:v>
      </x:c>
      <x:c r="W31" s="186" t="n">
        <x:v>0</x:v>
      </x:c>
      <x:c r="X31" s="186" t="n">
        <x:v>0</x:v>
      </x:c>
      <x:c r="Y31" s="186" t="n">
        <x:v>0</x:v>
      </x:c>
      <x:c r="Z31" s="186" t="n">
        <x:v>0</x:v>
      </x:c>
      <x:c r="AA31" s="186" t="n">
        <x:v>0</x:v>
      </x:c>
      <x:c r="AB31" s="186" t="n">
        <x:v>0</x:v>
      </x:c>
      <x:c r="AC31" s="186" t="n">
        <x:v>0</x:v>
      </x:c>
      <x:c r="AD31" s="186" t="n">
        <x:v>0</x:v>
      </x:c>
      <x:c r="AE31" s="186" t="n">
        <x:v>0</x:v>
      </x:c>
      <x:c r="AF31" s="186" t="n">
        <x:v>0</x:v>
      </x:c>
      <x:c r="AG31" s="186" t="n">
        <x:v>0</x:v>
      </x:c>
      <x:c r="AH31" s="186" t="n">
        <x:v>0</x:v>
      </x:c>
      <x:c r="AI31" s="188" t="n">
        <x:f>SUM(D31:AH31)</x:f>
        <x:v>0</x:v>
      </x:c>
      <x:c r="AJ31" s="196" t="n">
        <x:f>D31*'Daftar Produk &amp; Harga'!$C$4+E31*'Daftar Produk &amp; Harga'!$C$5+F31*'Daftar Produk &amp; Harga'!$C$6+G31*'Daftar Produk &amp; Harga'!$C$7+H31*'Daftar Produk &amp; Harga'!$C$8+I31*'Daftar Produk &amp; Harga'!$C$9+J31*'Daftar Produk &amp; Harga'!$C$10+K31*'Daftar Produk &amp; Harga'!$C$11+L31*'Daftar Produk &amp; Harga'!$C$12+M31*'Daftar Produk &amp; Harga'!$C$13+N31*'Daftar Produk &amp; Harga'!$C$14+O31*'Daftar Produk &amp; Harga'!$C$15+P31*'Daftar Produk &amp; Harga'!$C$16+Q31*'Daftar Produk &amp; Harga'!$C$17+R31*'Daftar Produk &amp; Harga'!$C$18+S31*'Daftar Produk &amp; Harga'!$C$19+T31*'Daftar Produk &amp; Harga'!$C$20+U31*'Daftar Produk &amp; Harga'!$C$21+V31*'Daftar Produk &amp; Harga'!$C$22+W31*'Daftar Produk &amp; Harga'!$C$23+X31*'Daftar Produk &amp; Harga'!$C$24+Y31*'Daftar Produk &amp; Harga'!$C$25+Z31*'Daftar Produk &amp; Harga'!$C$26+AA31*'Daftar Produk &amp; Harga'!$C$27+AB31*'Daftar Produk &amp; Harga'!$C$28+AC31*'Daftar Produk &amp; Harga'!$C$29+AD31*'Daftar Produk &amp; Harga'!$C$30+AE31*'Daftar Produk &amp; Harga'!$C$31+AF31*'Daftar Produk &amp; Harga'!$C$32+AG31*'Daftar Produk &amp; Harga'!$C$33+AH31*'Daftar Produk &amp; Harga'!$C$34</x:f>
        <x:v>0</x:v>
      </x:c>
    </x:row>
    <x:row r="32" ht="18" customHeight="1">
      <x:c r="A32" s="178" t="n">
        <x:v>29</x:v>
      </x:c>
      <x:c r="B32" s="179" t="n">
        <x:v>46171</x:v>
      </x:c>
      <x:c r="C32" s="178" t="str">
        <x:v>Jumat</x:v>
      </x:c>
      <x:c r="D32" s="184" t="n">
        <x:v>0</x:v>
      </x:c>
      <x:c r="E32" s="184" t="n">
        <x:v>0</x:v>
      </x:c>
      <x:c r="F32" s="184" t="n">
        <x:v>0</x:v>
      </x:c>
      <x:c r="G32" s="184" t="n">
        <x:v>50</x:v>
      </x:c>
      <x:c r="H32" s="184" t="n">
        <x:v>0</x:v>
      </x:c>
      <x:c r="I32" s="184" t="n">
        <x:v>0</x:v>
      </x:c>
      <x:c r="J32" s="184" t="n">
        <x:v>0</x:v>
      </x:c>
      <x:c r="K32" s="184" t="n">
        <x:v>0</x:v>
      </x:c>
      <x:c r="L32" s="184" t="n">
        <x:v>0</x:v>
      </x:c>
      <x:c r="M32" s="184" t="n">
        <x:v>0</x:v>
      </x:c>
      <x:c r="N32" s="186" t="n">
        <x:v>35</x:v>
      </x:c>
      <x:c r="O32" s="186" t="n">
        <x:v>30</x:v>
      </x:c>
      <x:c r="P32" s="186" t="n">
        <x:v>30</x:v>
      </x:c>
      <x:c r="Q32" s="186" t="n">
        <x:v>35</x:v>
      </x:c>
      <x:c r="R32" s="186" t="n">
        <x:v>40</x:v>
      </x:c>
      <x:c r="S32" s="186" t="n">
        <x:v>30</x:v>
      </x:c>
      <x:c r="T32" s="186" t="n">
        <x:v>40</x:v>
      </x:c>
      <x:c r="U32" s="186" t="n">
        <x:v>30</x:v>
      </x:c>
      <x:c r="V32" s="186" t="n">
        <x:v>35</x:v>
      </x:c>
      <x:c r="W32" s="186" t="n">
        <x:v>35</x:v>
      </x:c>
      <x:c r="X32" s="186" t="n">
        <x:v>40</x:v>
      </x:c>
      <x:c r="Y32" s="186" t="n">
        <x:v>30</x:v>
      </x:c>
      <x:c r="Z32" s="186" t="n">
        <x:v>40</x:v>
      </x:c>
      <x:c r="AA32" s="186" t="n">
        <x:v>35</x:v>
      </x:c>
      <x:c r="AB32" s="186" t="n">
        <x:v>40</x:v>
      </x:c>
      <x:c r="AC32" s="186" t="n">
        <x:v>40</x:v>
      </x:c>
      <x:c r="AD32" s="186" t="n">
        <x:v>35</x:v>
      </x:c>
      <x:c r="AE32" s="186" t="n">
        <x:v>40</x:v>
      </x:c>
      <x:c r="AF32" s="186" t="n">
        <x:v>30</x:v>
      </x:c>
      <x:c r="AG32" s="186" t="n">
        <x:v>30</x:v>
      </x:c>
      <x:c r="AH32" s="186" t="n">
        <x:v>30</x:v>
      </x:c>
      <x:c r="AI32" s="188" t="n">
        <x:f>SUM(D32:AH32)</x:f>
        <x:v>780</x:v>
      </x:c>
      <x:c r="AJ32" s="196" t="n">
        <x:f>D32*'Daftar Produk &amp; Harga'!$C$4+E32*'Daftar Produk &amp; Harga'!$C$5+F32*'Daftar Produk &amp; Harga'!$C$6+G32*'Daftar Produk &amp; Harga'!$C$7+H32*'Daftar Produk &amp; Harga'!$C$8+I32*'Daftar Produk &amp; Harga'!$C$9+J32*'Daftar Produk &amp; Harga'!$C$10+K32*'Daftar Produk &amp; Harga'!$C$11+L32*'Daftar Produk &amp; Harga'!$C$12+M32*'Daftar Produk &amp; Harga'!$C$13+N32*'Daftar Produk &amp; Harga'!$C$14+O32*'Daftar Produk &amp; Harga'!$C$15+P32*'Daftar Produk &amp; Harga'!$C$16+Q32*'Daftar Produk &amp; Harga'!$C$17+R32*'Daftar Produk &amp; Harga'!$C$18+S32*'Daftar Produk &amp; Harga'!$C$19+T32*'Daftar Produk &amp; Harga'!$C$20+U32*'Daftar Produk &amp; Harga'!$C$21+V32*'Daftar Produk &amp; Harga'!$C$22+W32*'Daftar Produk &amp; Harga'!$C$23+X32*'Daftar Produk &amp; Harga'!$C$24+Y32*'Daftar Produk &amp; Harga'!$C$25+Z32*'Daftar Produk &amp; Harga'!$C$26+AA32*'Daftar Produk &amp; Harga'!$C$27+AB32*'Daftar Produk &amp; Harga'!$C$28+AC32*'Daftar Produk &amp; Harga'!$C$29+AD32*'Daftar Produk &amp; Harga'!$C$30+AE32*'Daftar Produk &amp; Harga'!$C$31+AF32*'Daftar Produk &amp; Harga'!$C$32+AG32*'Daftar Produk &amp; Harga'!$C$33+AH32*'Daftar Produk &amp; Harga'!$C$34</x:f>
        <x:v>25640000</x:v>
      </x:c>
    </x:row>
    <x:row r="33" ht="18" customHeight="1">
      <x:c r="A33" s="178" t="n">
        <x:v>30</x:v>
      </x:c>
      <x:c r="B33" s="179" t="n">
        <x:v>46172</x:v>
      </x:c>
      <x:c r="C33" s="178" t="str">
        <x:v>Sabtu</x:v>
      </x:c>
      <x:c r="D33" s="184" t="n">
        <x:v>0</x:v>
      </x:c>
      <x:c r="E33" s="184" t="n">
        <x:v>0</x:v>
      </x:c>
      <x:c r="F33" s="184" t="n">
        <x:v>0</x:v>
      </x:c>
      <x:c r="G33" s="184" t="n">
        <x:v>50</x:v>
      </x:c>
      <x:c r="H33" s="184" t="n">
        <x:v>90</x:v>
      </x:c>
      <x:c r="I33" s="184" t="n">
        <x:v>0</x:v>
      </x:c>
      <x:c r="J33" s="184" t="n">
        <x:v>0</x:v>
      </x:c>
      <x:c r="K33" s="184" t="n">
        <x:v>0</x:v>
      </x:c>
      <x:c r="L33" s="184" t="n">
        <x:v>0</x:v>
      </x:c>
      <x:c r="M33" s="184" t="n">
        <x:v>0</x:v>
      </x:c>
      <x:c r="N33" s="186" t="n">
        <x:v>50</x:v>
      </x:c>
      <x:c r="O33" s="186" t="n">
        <x:v>35</x:v>
      </x:c>
      <x:c r="P33" s="186" t="n">
        <x:v>45</x:v>
      </x:c>
      <x:c r="Q33" s="186" t="n">
        <x:v>45</x:v>
      </x:c>
      <x:c r="R33" s="186" t="n">
        <x:v>40</x:v>
      </x:c>
      <x:c r="S33" s="186" t="n">
        <x:v>50</x:v>
      </x:c>
      <x:c r="T33" s="186" t="n">
        <x:v>45</x:v>
      </x:c>
      <x:c r="U33" s="186" t="n">
        <x:v>40</x:v>
      </x:c>
      <x:c r="V33" s="186" t="n">
        <x:v>50</x:v>
      </x:c>
      <x:c r="W33" s="186" t="n">
        <x:v>40</x:v>
      </x:c>
      <x:c r="X33" s="186" t="n">
        <x:v>45</x:v>
      </x:c>
      <x:c r="Y33" s="186" t="n">
        <x:v>50</x:v>
      </x:c>
      <x:c r="Z33" s="186" t="n">
        <x:v>50</x:v>
      </x:c>
      <x:c r="AA33" s="186" t="n">
        <x:v>50</x:v>
      </x:c>
      <x:c r="AB33" s="186" t="n">
        <x:v>40</x:v>
      </x:c>
      <x:c r="AC33" s="186" t="n">
        <x:v>40</x:v>
      </x:c>
      <x:c r="AD33" s="186" t="n">
        <x:v>40</x:v>
      </x:c>
      <x:c r="AE33" s="186" t="n">
        <x:v>45</x:v>
      </x:c>
      <x:c r="AF33" s="186" t="n">
        <x:v>45</x:v>
      </x:c>
      <x:c r="AG33" s="186" t="n">
        <x:v>45</x:v>
      </x:c>
      <x:c r="AH33" s="186" t="n">
        <x:v>45</x:v>
      </x:c>
      <x:c r="AI33" s="188" t="n">
        <x:f>SUM(D33:AH33)</x:f>
        <x:v>1075</x:v>
      </x:c>
      <x:c r="AJ33" s="196" t="n">
        <x:f>D33*'Daftar Produk &amp; Harga'!$C$4+E33*'Daftar Produk &amp; Harga'!$C$5+F33*'Daftar Produk &amp; Harga'!$C$6+G33*'Daftar Produk &amp; Harga'!$C$7+H33*'Daftar Produk &amp; Harga'!$C$8+I33*'Daftar Produk &amp; Harga'!$C$9+J33*'Daftar Produk &amp; Harga'!$C$10+K33*'Daftar Produk &amp; Harga'!$C$11+L33*'Daftar Produk &amp; Harga'!$C$12+M33*'Daftar Produk &amp; Harga'!$C$13+N33*'Daftar Produk &amp; Harga'!$C$14+O33*'Daftar Produk &amp; Harga'!$C$15+P33*'Daftar Produk &amp; Harga'!$C$16+Q33*'Daftar Produk &amp; Harga'!$C$17+R33*'Daftar Produk &amp; Harga'!$C$18+S33*'Daftar Produk &amp; Harga'!$C$19+T33*'Daftar Produk &amp; Harga'!$C$20+U33*'Daftar Produk &amp; Harga'!$C$21+V33*'Daftar Produk &amp; Harga'!$C$22+W33*'Daftar Produk &amp; Harga'!$C$23+X33*'Daftar Produk &amp; Harga'!$C$24+Y33*'Daftar Produk &amp; Harga'!$C$25+Z33*'Daftar Produk &amp; Harga'!$C$26+AA33*'Daftar Produk &amp; Harga'!$C$27+AB33*'Daftar Produk &amp; Harga'!$C$28+AC33*'Daftar Produk &amp; Harga'!$C$29+AD33*'Daftar Produk &amp; Harga'!$C$30+AE33*'Daftar Produk &amp; Harga'!$C$31+AF33*'Daftar Produk &amp; Harga'!$C$32+AG33*'Daftar Produk &amp; Harga'!$C$33+AH33*'Daftar Produk &amp; Harga'!$C$34</x:f>
        <x:v>35740000</x:v>
      </x:c>
    </x:row>
    <x:row r="34" ht="18" customHeight="1">
      <x:c r="A34" s="178" t="n">
        <x:v>31</x:v>
      </x:c>
      <x:c r="B34" s="179" t="n">
        <x:v>46173</x:v>
      </x:c>
      <x:c r="C34" s="178" t="str">
        <x:v>Minggu</x:v>
      </x:c>
      <x:c r="D34" s="184" t="n">
        <x:v>0</x:v>
      </x:c>
      <x:c r="E34" s="184" t="n">
        <x:v>0</x:v>
      </x:c>
      <x:c r="F34" s="184" t="n">
        <x:v>0</x:v>
      </x:c>
      <x:c r="G34" s="184" t="n">
        <x:v>50</x:v>
      </x:c>
      <x:c r="H34" s="184" t="n">
        <x:v>100</x:v>
      </x:c>
      <x:c r="I34" s="184" t="n">
        <x:v>0</x:v>
      </x:c>
      <x:c r="J34" s="184" t="n">
        <x:v>0</x:v>
      </x:c>
      <x:c r="K34" s="184" t="n">
        <x:v>0</x:v>
      </x:c>
      <x:c r="L34" s="184" t="n">
        <x:v>150</x:v>
      </x:c>
      <x:c r="M34" s="184" t="n">
        <x:v>260</x:v>
      </x:c>
      <x:c r="N34" s="186" t="n">
        <x:v>50</x:v>
      </x:c>
      <x:c r="O34" s="186" t="n">
        <x:v>45</x:v>
      </x:c>
      <x:c r="P34" s="186" t="n">
        <x:v>40</x:v>
      </x:c>
      <x:c r="Q34" s="186" t="n">
        <x:v>50</x:v>
      </x:c>
      <x:c r="R34" s="186" t="n">
        <x:v>45</x:v>
      </x:c>
      <x:c r="S34" s="186" t="n">
        <x:v>35</x:v>
      </x:c>
      <x:c r="T34" s="186" t="n">
        <x:v>45</x:v>
      </x:c>
      <x:c r="U34" s="186" t="n">
        <x:v>45</x:v>
      </x:c>
      <x:c r="V34" s="186" t="n">
        <x:v>40</x:v>
      </x:c>
      <x:c r="W34" s="186" t="n">
        <x:v>40</x:v>
      </x:c>
      <x:c r="X34" s="186" t="n">
        <x:v>35</x:v>
      </x:c>
      <x:c r="Y34" s="186" t="n">
        <x:v>45</x:v>
      </x:c>
      <x:c r="Z34" s="186" t="n">
        <x:v>40</x:v>
      </x:c>
      <x:c r="AA34" s="186" t="n">
        <x:v>45</x:v>
      </x:c>
      <x:c r="AB34" s="186" t="n">
        <x:v>45</x:v>
      </x:c>
      <x:c r="AC34" s="186" t="n">
        <x:v>45</x:v>
      </x:c>
      <x:c r="AD34" s="186" t="n">
        <x:v>40</x:v>
      </x:c>
      <x:c r="AE34" s="186" t="n">
        <x:v>40</x:v>
      </x:c>
      <x:c r="AF34" s="186" t="n">
        <x:v>40</x:v>
      </x:c>
      <x:c r="AG34" s="186" t="n">
        <x:v>40</x:v>
      </x:c>
      <x:c r="AH34" s="186" t="n">
        <x:v>40</x:v>
      </x:c>
      <x:c r="AI34" s="188" t="n">
        <x:f>SUM(D34:AH34)</x:f>
        <x:v>1450</x:v>
      </x:c>
      <x:c r="AJ34" s="196" t="n">
        <x:f>D34*'Daftar Produk &amp; Harga'!$C$4+E34*'Daftar Produk &amp; Harga'!$C$5+F34*'Daftar Produk &amp; Harga'!$C$6+G34*'Daftar Produk &amp; Harga'!$C$7+H34*'Daftar Produk &amp; Harga'!$C$8+I34*'Daftar Produk &amp; Harga'!$C$9+J34*'Daftar Produk &amp; Harga'!$C$10+K34*'Daftar Produk &amp; Harga'!$C$11+L34*'Daftar Produk &amp; Harga'!$C$12+M34*'Daftar Produk &amp; Harga'!$C$13+N34*'Daftar Produk &amp; Harga'!$C$14+O34*'Daftar Produk &amp; Harga'!$C$15+P34*'Daftar Produk &amp; Harga'!$C$16+Q34*'Daftar Produk &amp; Harga'!$C$17+R34*'Daftar Produk &amp; Harga'!$C$18+S34*'Daftar Produk &amp; Harga'!$C$19+T34*'Daftar Produk &amp; Harga'!$C$20+U34*'Daftar Produk &amp; Harga'!$C$21+V34*'Daftar Produk &amp; Harga'!$C$22+W34*'Daftar Produk &amp; Harga'!$C$23+X34*'Daftar Produk &amp; Harga'!$C$24+Y34*'Daftar Produk &amp; Harga'!$C$25+Z34*'Daftar Produk &amp; Harga'!$C$26+AA34*'Daftar Produk &amp; Harga'!$C$27+AB34*'Daftar Produk &amp; Harga'!$C$28+AC34*'Daftar Produk &amp; Harga'!$C$29+AD34*'Daftar Produk &amp; Harga'!$C$30+AE34*'Daftar Produk &amp; Harga'!$C$31+AF34*'Daftar Produk &amp; Harga'!$C$32+AG34*'Daftar Produk &amp; Harga'!$C$33+AH34*'Daftar Produk &amp; Harga'!$C$34</x:f>
        <x:v>50260000</x:v>
      </x:c>
    </x:row>
    <x:row r="35">
      <x:c r="A35" s="61" t="str">
        <x:v>TOTAL MEI 2026</x:v>
      </x:c>
      <x:c r="B35" s="61"/>
      <x:c r="C35" s="61"/>
      <x:c r="D35" s="62" t="n">
        <x:f>SUM(D4:D34)</x:f>
        <x:v>720</x:v>
      </x:c>
      <x:c r="E35" s="62" t="n">
        <x:f>SUM(E4:E34)</x:f>
        <x:v>420</x:v>
      </x:c>
      <x:c r="F35" s="62" t="n">
        <x:f>SUM(F4:F34)</x:f>
        <x:v>520</x:v>
      </x:c>
      <x:c r="G35" s="62" t="n">
        <x:f>SUM(G4:G34)</x:f>
        <x:v>280</x:v>
      </x:c>
      <x:c r="H35" s="62" t="n">
        <x:f>SUM(H4:H34)</x:f>
        <x:v>650</x:v>
      </x:c>
      <x:c r="I35" s="62" t="n">
        <x:f>SUM(I4:I34)</x:f>
        <x:v>560</x:v>
      </x:c>
      <x:c r="J35" s="62" t="n">
        <x:f>SUM(J4:J34)</x:f>
        <x:v>550</x:v>
      </x:c>
      <x:c r="K35" s="62" t="n">
        <x:f>SUM(K4:K34)</x:f>
        <x:v>760</x:v>
      </x:c>
      <x:c r="L35" s="62" t="n">
        <x:f>SUM(L4:L34)</x:f>
        <x:v>750</x:v>
      </x:c>
      <x:c r="M35" s="62" t="n">
        <x:f>SUM(M4:M34)</x:f>
        <x:v>910</x:v>
      </x:c>
      <x:c r="N35" s="62" t="n">
        <x:f>SUM(N4:N34)</x:f>
        <x:v>1105</x:v>
      </x:c>
      <x:c r="O35" s="62" t="n">
        <x:f>SUM(O4:O34)</x:f>
        <x:v>1110</x:v>
      </x:c>
      <x:c r="P35" s="62" t="n">
        <x:f>SUM(P4:P34)</x:f>
        <x:v>1055</x:v>
      </x:c>
      <x:c r="Q35" s="62" t="n">
        <x:f>SUM(Q4:Q34)</x:f>
        <x:v>1055</x:v>
      </x:c>
      <x:c r="R35" s="62" t="n">
        <x:f>SUM(R4:R34)</x:f>
        <x:v>1075</x:v>
      </x:c>
      <x:c r="S35" s="62" t="n">
        <x:f>SUM(S4:S34)</x:f>
        <x:v>1115</x:v>
      </x:c>
      <x:c r="T35" s="62" t="n">
        <x:f>SUM(T4:T34)</x:f>
        <x:v>1120</x:v>
      </x:c>
      <x:c r="U35" s="62" t="n">
        <x:f>SUM(U4:U34)</x:f>
        <x:v>1085</x:v>
      </x:c>
      <x:c r="V35" s="62" t="n">
        <x:f>SUM(V4:V34)</x:f>
        <x:v>1130</x:v>
      </x:c>
      <x:c r="W35" s="62" t="n">
        <x:f>SUM(W4:W34)</x:f>
        <x:v>1060</x:v>
      </x:c>
      <x:c r="X35" s="62" t="n">
        <x:f>SUM(X4:X34)</x:f>
        <x:v>1060</x:v>
      </x:c>
      <x:c r="Y35" s="62" t="n">
        <x:f>SUM(Y4:Y34)</x:f>
        <x:v>1060</x:v>
      </x:c>
      <x:c r="Z35" s="62" t="n">
        <x:f>SUM(Z4:Z34)</x:f>
        <x:v>1125</x:v>
      </x:c>
      <x:c r="AA35" s="62" t="n">
        <x:f>SUM(AA4:AA34)</x:f>
        <x:v>1070</x:v>
      </x:c>
      <x:c r="AB35" s="62" t="n">
        <x:f>SUM(AB4:AB34)</x:f>
        <x:v>1050</x:v>
      </x:c>
      <x:c r="AC35" s="62" t="n">
        <x:f>SUM(AC4:AC34)</x:f>
        <x:v>1095</x:v>
      </x:c>
      <x:c r="AD35" s="62" t="n">
        <x:f>SUM(AD4:AD34)</x:f>
        <x:v>1100</x:v>
      </x:c>
      <x:c r="AE35" s="62" t="n">
        <x:f>SUM(AE4:AE34)</x:f>
        <x:v>1100</x:v>
      </x:c>
      <x:c r="AF35" s="62" t="n">
        <x:f>SUM(AF4:AF34)</x:f>
        <x:v>1085</x:v>
      </x:c>
      <x:c r="AG35" s="62" t="n">
        <x:f>SUM(AG4:AG34)</x:f>
        <x:v>1085</x:v>
      </x:c>
      <x:c r="AH35" s="62" t="n">
        <x:f>SUM(AH4:AH34)</x:f>
        <x:v>1085</x:v>
      </x:c>
      <x:c r="AI35" s="62" t="n">
        <x:f>SUM(AI4:AI34)</x:f>
        <x:v>28945</x:v>
      </x:c>
      <x:c r="AJ35" s="62" t="n">
        <x:f>SUM(AJ4:AJ34)</x:f>
        <x:v>959110000</x:v>
      </x:c>
    </x:row>
  </x:sheetData>
  <x:mergeCells>
    <x:mergeCell ref="A1:AJ1"/>
    <x:mergeCell ref="A2:AJ2"/>
  </x:mergeCells>
  <x:pageMargins left="0.7" right="0.7" top="0.75" bottom="0.75" header="0.3" footer="0.3"/>
</x:worksheet>
</file>